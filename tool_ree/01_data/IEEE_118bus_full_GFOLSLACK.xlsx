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l mio Drive\Francesca 118 v2\ree_orig\tool_ree\tool_ree\01_data\"/>
    </mc:Choice>
  </mc:AlternateContent>
  <xr:revisionPtr revIDLastSave="0" documentId="13_ncr:1_{86035AB8-B4CA-451D-AEBF-D6ED7C708F18}" xr6:coauthVersionLast="47" xr6:coauthVersionMax="47" xr10:uidLastSave="{00000000-0000-0000-0000-000000000000}"/>
  <bookViews>
    <workbookView xWindow="1500" yWindow="1500" windowWidth="17280" windowHeight="8880" tabRatio="922" activeTab="14" xr2:uid="{00000000-000D-0000-FFFF-FFFF00000000}"/>
  </bookViews>
  <sheets>
    <sheet name="global" sheetId="1" r:id="rId1"/>
    <sheet name="AC-NET" sheetId="3" r:id="rId2"/>
    <sheet name="DC-NET" sheetId="10" r:id="rId3"/>
    <sheet name="trafo" sheetId="7" r:id="rId4"/>
    <sheet name="load" sheetId="2" r:id="rId5"/>
    <sheet name="TH" sheetId="8" r:id="rId6"/>
    <sheet name="SG" sheetId="4" r:id="rId7"/>
    <sheet name="STATCOM" sheetId="5" r:id="rId8"/>
    <sheet name="VSC" sheetId="14" r:id="rId9"/>
    <sheet name="MMC-Pac-GFll" sheetId="6" r:id="rId10"/>
    <sheet name="MMC-Vdc-GFll" sheetId="9" r:id="rId11"/>
    <sheet name="b2b" sheetId="13" r:id="rId12"/>
    <sheet name="user" sheetId="15" r:id="rId13"/>
    <sheet name="PF" sheetId="16" r:id="rId14"/>
    <sheet name="CASE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7" l="1"/>
  <c r="G13" i="17"/>
  <c r="A69" i="15" l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H29" i="17" l="1"/>
  <c r="G29" i="17"/>
  <c r="F29" i="17"/>
  <c r="H28" i="17"/>
  <c r="G28" i="17"/>
  <c r="F28" i="17"/>
  <c r="H27" i="17"/>
  <c r="G27" i="17"/>
  <c r="F27" i="17"/>
  <c r="H26" i="17"/>
  <c r="G26" i="17"/>
  <c r="F26" i="17"/>
  <c r="H25" i="17"/>
  <c r="G25" i="17"/>
  <c r="F25" i="17"/>
  <c r="H24" i="17"/>
  <c r="G24" i="17"/>
  <c r="F24" i="17"/>
  <c r="H23" i="17"/>
  <c r="G23" i="17"/>
  <c r="F23" i="17"/>
  <c r="H22" i="17"/>
  <c r="G22" i="17"/>
  <c r="F22" i="17"/>
  <c r="H21" i="17"/>
  <c r="G21" i="17"/>
  <c r="F21" i="17"/>
  <c r="H20" i="17"/>
  <c r="G20" i="17"/>
  <c r="F20" i="17"/>
  <c r="H19" i="17"/>
  <c r="G19" i="17"/>
  <c r="F19" i="17"/>
  <c r="H18" i="17"/>
  <c r="G18" i="17"/>
  <c r="F18" i="17"/>
  <c r="H17" i="17"/>
  <c r="G17" i="17"/>
  <c r="F17" i="17"/>
  <c r="H16" i="17"/>
  <c r="G16" i="17"/>
  <c r="F16" i="17"/>
  <c r="H15" i="17"/>
  <c r="G15" i="17"/>
  <c r="F15" i="17"/>
  <c r="H14" i="17"/>
  <c r="G14" i="17"/>
  <c r="F14" i="17"/>
  <c r="F13" i="17"/>
  <c r="H12" i="17"/>
  <c r="G12" i="17"/>
  <c r="F12" i="17"/>
  <c r="H11" i="17"/>
  <c r="G11" i="17"/>
  <c r="F11" i="17"/>
  <c r="H10" i="17"/>
  <c r="G10" i="17"/>
  <c r="F10" i="17"/>
  <c r="H9" i="17"/>
  <c r="G9" i="17"/>
  <c r="F9" i="17"/>
  <c r="H8" i="17"/>
  <c r="G8" i="17"/>
  <c r="F8" i="17"/>
  <c r="H7" i="17"/>
  <c r="G7" i="17"/>
  <c r="F7" i="17"/>
  <c r="H6" i="17"/>
  <c r="G6" i="17"/>
  <c r="F6" i="17"/>
  <c r="H5" i="17"/>
  <c r="G5" i="17"/>
  <c r="F5" i="17"/>
  <c r="H4" i="17"/>
  <c r="G4" i="17"/>
  <c r="F4" i="17"/>
  <c r="H3" i="17"/>
  <c r="G3" i="17"/>
  <c r="F3" i="17"/>
  <c r="H2" i="17"/>
  <c r="G2" i="17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F135" i="3"/>
  <c r="F134" i="3"/>
  <c r="F117" i="3"/>
  <c r="F90" i="3"/>
  <c r="F76" i="3"/>
  <c r="F75" i="3"/>
  <c r="F6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</calcChain>
</file>

<file path=xl/sharedStrings.xml><?xml version="1.0" encoding="utf-8"?>
<sst xmlns="http://schemas.openxmlformats.org/spreadsheetml/2006/main" count="306" uniqueCount="135">
  <si>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</si>
  <si>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</si>
  <si>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</si>
  <si>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</si>
  <si>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</si>
  <si>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</si>
  <si>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</si>
  <si>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</si>
  <si>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</si>
  <si>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</si>
  <si>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trafo</t>
  </si>
  <si>
    <t>Sb_MVA</t>
  </si>
  <si>
    <t>f_Hz</t>
  </si>
  <si>
    <t>R</t>
  </si>
  <si>
    <t>L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</si>
  <si>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</si>
  <si>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</si>
  <si>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</si>
  <si>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</si>
  <si>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</si>
  <si>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</si>
  <si>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</si>
  <si>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</si>
  <si>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</si>
  <si>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</si>
  <si>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</si>
  <si>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</si>
  <si>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</si>
  <si>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</si>
  <si>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</si>
  <si>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</si>
  <si>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V</t>
  </si>
  <si>
    <t>Sn</t>
  </si>
  <si>
    <t>Vn</t>
  </si>
  <si>
    <t>fn</t>
  </si>
  <si>
    <t>genType</t>
  </si>
  <si>
    <t>K_hp</t>
  </si>
  <si>
    <t>tau_lp</t>
  </si>
  <si>
    <t>H</t>
  </si>
  <si>
    <t>H1</t>
  </si>
  <si>
    <t>H2</t>
  </si>
  <si>
    <t>H3</t>
  </si>
  <si>
    <t>H4</t>
  </si>
  <si>
    <t>H5</t>
  </si>
  <si>
    <t>T2</t>
  </si>
  <si>
    <t>T3</t>
  </si>
  <si>
    <t>T4</t>
  </si>
  <si>
    <t>T5</t>
  </si>
  <si>
    <t>F2</t>
  </si>
  <si>
    <t>F3</t>
  </si>
  <si>
    <t>F4</t>
  </si>
  <si>
    <t>F5</t>
  </si>
  <si>
    <t>K12</t>
  </si>
  <si>
    <t>K23</t>
  </si>
  <si>
    <t>K34</t>
  </si>
  <si>
    <t>K45</t>
  </si>
  <si>
    <t>D1</t>
  </si>
  <si>
    <t>D2</t>
  </si>
  <si>
    <t>D3</t>
  </si>
  <si>
    <t>D4</t>
  </si>
  <si>
    <t>D5</t>
  </si>
  <si>
    <t>KA</t>
  </si>
  <si>
    <t>TA</t>
  </si>
  <si>
    <t>TB</t>
  </si>
  <si>
    <t>TC</t>
  </si>
  <si>
    <t>Rs_pu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</si>
  <si>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</si>
  <si>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</si>
  <si>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</si>
  <si>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</si>
  <si>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</si>
  <si>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</si>
  <si>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</si>
  <si>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</si>
  <si>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</si>
  <si>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</si>
  <si>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</si>
  <si>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Vb_ll_rms</t>
  </si>
  <si>
    <t>f</t>
  </si>
  <si>
    <t>vDC</t>
  </si>
  <si>
    <t>Rtrafo</t>
  </si>
  <si>
    <t>Ltrafo</t>
  </si>
  <si>
    <t>kpPLL</t>
  </si>
  <si>
    <t>kiPLL</t>
  </si>
  <si>
    <t>kpIs</t>
  </si>
  <si>
    <t>kiIs</t>
  </si>
  <si>
    <t>kpVdc</t>
  </si>
  <si>
    <t>kiVdc</t>
  </si>
  <si>
    <t>KfeedVac</t>
  </si>
  <si>
    <t>kiVac</t>
  </si>
  <si>
    <t>tVac</t>
  </si>
  <si>
    <t>delay</t>
  </si>
  <si>
    <t>NodeDC</t>
  </si>
  <si>
    <t>Carm</t>
  </si>
  <si>
    <t>kpIsum</t>
  </si>
  <si>
    <t>kiIsum</t>
  </si>
  <si>
    <t>kpEt</t>
  </si>
  <si>
    <t>kiEt</t>
  </si>
  <si>
    <t>kpPac</t>
  </si>
  <si>
    <t>kiPac</t>
  </si>
  <si>
    <t>kpQ</t>
  </si>
  <si>
    <t>kiQ</t>
  </si>
  <si>
    <t>kpVac</t>
  </si>
  <si>
    <t>tPac</t>
  </si>
  <si>
    <t>tQ</t>
  </si>
  <si>
    <t>Vdc</t>
  </si>
  <si>
    <t>P1</t>
  </si>
  <si>
    <t>Q1</t>
  </si>
  <si>
    <t>P2</t>
  </si>
  <si>
    <t>Q2</t>
  </si>
  <si>
    <t>V1</t>
  </si>
  <si>
    <t>V2</t>
  </si>
  <si>
    <t>Vac_ll_rms</t>
  </si>
  <si>
    <t>join_trafo</t>
  </si>
  <si>
    <t>rm_trafo</t>
  </si>
  <si>
    <t>xm_trafo</t>
  </si>
  <si>
    <t>Req</t>
  </si>
  <si>
    <t>Leq</t>
  </si>
  <si>
    <t>element</t>
  </si>
  <si>
    <t>delta</t>
  </si>
  <si>
    <t>Sb</t>
  </si>
  <si>
    <t>bus</t>
  </si>
  <si>
    <t>Vm</t>
  </si>
  <si>
    <t>theta</t>
  </si>
  <si>
    <t>Vb_kV</t>
  </si>
  <si>
    <t>bus_real</t>
  </si>
  <si>
    <t>SG</t>
  </si>
  <si>
    <t>GFOR</t>
  </si>
  <si>
    <t>GFOL</t>
  </si>
  <si>
    <t>alfa</t>
  </si>
  <si>
    <t>beta</t>
  </si>
  <si>
    <t>SG</t>
  </si>
  <si>
    <t>GFOR</t>
  </si>
  <si>
    <t>GFOL</t>
  </si>
  <si>
    <t>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</si>
</sst>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"/>
    <numFmt numFmtId="166" formatCode="0.0000"/>
    <numFmt numFmtId="167" formatCode="0.000000000"/>
    <numFmt numFmtId="168" formatCode="0.0"/>
    <numFmt numFmtId="169" formatCode="0.00000000"/>
  </numFmts>
  <fonts count="10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b/>
      <sz val="10"/>
      <name val="Cambria"/>
      <family val="1"/>
    </font>
    <font>
      <b/>
      <sz val="10"/>
      <color theme="1"/>
      <name val="Cambria"/>
      <family val="1"/>
    </font>
    <font>
      <sz val="10"/>
      <name val="Cambria"/>
      <family val="1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0"/>
      <name val="Consolas"/>
      <family val="3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36">
    <xf numFmtId="0" fontId="0" fillId="0" borderId="0" xfId="0"/>
    <xf numFmtId="0" fontId="2" fillId="4" borderId="0" xfId="0" applyFont="1" applyFill="1"/>
    <xf numFmtId="0" fontId="3" fillId="2" borderId="0" xfId="0" applyFont="1" applyFill="1"/>
    <xf numFmtId="0" fontId="4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Fill="1"/>
    <xf numFmtId="11" fontId="5" fillId="0" borderId="0" xfId="0" applyNumberFormat="1" applyFont="1"/>
    <xf numFmtId="0" fontId="3" fillId="4" borderId="0" xfId="0" applyFont="1" applyFill="1"/>
    <xf numFmtId="164" fontId="5" fillId="0" borderId="0" xfId="0" applyNumberFormat="1" applyFont="1"/>
    <xf numFmtId="3" fontId="5" fillId="0" borderId="0" xfId="0" applyNumberFormat="1" applyFont="1"/>
    <xf numFmtId="1" fontId="5" fillId="0" borderId="0" xfId="0" applyNumberFormat="1" applyFont="1"/>
    <xf numFmtId="0" fontId="6" fillId="4" borderId="0" xfId="0" applyFont="1" applyFill="1"/>
    <xf numFmtId="0" fontId="3" fillId="3" borderId="0" xfId="0" applyFont="1" applyFill="1"/>
    <xf numFmtId="165" fontId="5" fillId="0" borderId="0" xfId="0" applyNumberFormat="1" applyFont="1"/>
    <xf numFmtId="0" fontId="4" fillId="3" borderId="0" xfId="0" applyFont="1" applyFill="1" applyAlignment="1">
      <alignment vertical="center"/>
    </xf>
    <xf numFmtId="0" fontId="0" fillId="0" borderId="0" xfId="0" applyFont="1"/>
    <xf numFmtId="0" fontId="7" fillId="0" borderId="0" xfId="0" applyFont="1"/>
    <xf numFmtId="11" fontId="7" fillId="0" borderId="0" xfId="0" applyNumberFormat="1" applyFont="1"/>
    <xf numFmtId="166" fontId="5" fillId="0" borderId="0" xfId="0" applyNumberFormat="1" applyFont="1"/>
    <xf numFmtId="0" fontId="0" fillId="0" borderId="0" xfId="0" applyFill="1"/>
    <xf numFmtId="167" fontId="0" fillId="0" borderId="0" xfId="0" applyNumberFormat="1" applyFill="1"/>
    <xf numFmtId="0" fontId="8" fillId="0" borderId="0" xfId="0" applyFont="1" applyAlignment="1">
      <alignment horizontal="left" vertical="center" indent="2"/>
    </xf>
    <xf numFmtId="11" fontId="0" fillId="0" borderId="0" xfId="0" applyNumberFormat="1"/>
    <xf numFmtId="164" fontId="5" fillId="0" borderId="0" xfId="0" applyNumberFormat="1" applyFont="1" applyFill="1"/>
    <xf numFmtId="168" fontId="5" fillId="0" borderId="0" xfId="0" applyNumberFormat="1" applyFont="1"/>
    <xf numFmtId="168" fontId="5" fillId="0" borderId="0" xfId="0" applyNumberFormat="1" applyFont="1" applyFill="1"/>
    <xf numFmtId="0" fontId="0" fillId="5" borderId="0" xfId="0" applyFill="1"/>
    <xf numFmtId="0" fontId="0" fillId="6" borderId="0" xfId="0" applyFill="1"/>
    <xf numFmtId="169" fontId="0" fillId="0" borderId="0" xfId="0" applyNumberFormat="1"/>
    <xf numFmtId="0" fontId="1" fillId="0" borderId="1" xfId="1"/>
    <xf numFmtId="0" fontId="9" fillId="7" borderId="0" xfId="0" applyFont="1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164" fontId="0" fillId="10" borderId="0" xfId="0" applyNumberFormat="1" applyFill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zoomScaleNormal="100" workbookViewId="0">
      <selection activeCell="M19" sqref="M19"/>
    </sheetView>
  </sheetViews>
  <sheetFormatPr defaultColWidth="11.6640625" defaultRowHeight="13.2" x14ac:dyDescent="0.25"/>
  <cols>
    <col min="1" max="1" width="7.109375" style="5" bestFit="1" customWidth="1"/>
    <col min="2" max="2" width="7.88671875" style="5" customWidth="1"/>
    <col min="3" max="3" width="4.5546875" style="5" bestFit="1" customWidth="1"/>
    <col min="4" max="4" width="3.33203125" customWidth="1"/>
    <col min="6" max="6" width="12.109375" bestFit="1" customWidth="1"/>
    <col min="9" max="9" width="8.88671875" bestFit="1" customWidth="1"/>
  </cols>
  <sheetData>
    <row r="1" spans="1:3" x14ac:dyDescent="0.25">
      <c r="A1" s="8" t="s">
        <v>124</v>
      </c>
      <c r="B1" s="8" t="s">
        <v>11</v>
      </c>
      <c r="C1" s="8" t="s">
        <v>12</v>
      </c>
    </row>
    <row r="2" spans="1:3" x14ac:dyDescent="0.25">
      <c r="A2" s="22">
        <v>138</v>
      </c>
      <c r="B2" s="5">
        <v>100</v>
      </c>
      <c r="C2" s="5">
        <v>50</v>
      </c>
    </row>
    <row r="3" spans="1:3" x14ac:dyDescent="0.25">
      <c r="A3"/>
      <c r="B3"/>
      <c r="C3"/>
    </row>
    <row r="4" spans="1:3" x14ac:dyDescent="0.25">
      <c r="A4"/>
      <c r="B4"/>
      <c r="C4"/>
    </row>
    <row r="5" spans="1:3" ht="14.25" customHeight="1" x14ac:dyDescent="0.25">
      <c r="A5"/>
      <c r="B5"/>
      <c r="C5"/>
    </row>
    <row r="6" spans="1:3" x14ac:dyDescent="0.25">
      <c r="A6"/>
      <c r="B6"/>
      <c r="C6"/>
    </row>
    <row r="7" spans="1:3" ht="12.75" customHeight="1" x14ac:dyDescent="0.25">
      <c r="A7"/>
      <c r="B7"/>
      <c r="C7"/>
    </row>
    <row r="8" spans="1:3" x14ac:dyDescent="0.25">
      <c r="A8"/>
      <c r="B8"/>
      <c r="C8"/>
    </row>
    <row r="9" spans="1:3" x14ac:dyDescent="0.25">
      <c r="A9"/>
      <c r="B9"/>
      <c r="C9"/>
    </row>
    <row r="10" spans="1:3" x14ac:dyDescent="0.25">
      <c r="A10"/>
      <c r="B10"/>
      <c r="C10"/>
    </row>
    <row r="11" spans="1:3" x14ac:dyDescent="0.25">
      <c r="A11"/>
      <c r="B11"/>
      <c r="C11"/>
    </row>
    <row r="12" spans="1:3" x14ac:dyDescent="0.25">
      <c r="A12"/>
      <c r="B12"/>
      <c r="C12"/>
    </row>
    <row r="13" spans="1:3" x14ac:dyDescent="0.25">
      <c r="A13"/>
      <c r="B13"/>
      <c r="C13"/>
    </row>
    <row r="14" spans="1:3" x14ac:dyDescent="0.25">
      <c r="A14"/>
      <c r="B14"/>
      <c r="C14"/>
    </row>
    <row r="15" spans="1:3" x14ac:dyDescent="0.25">
      <c r="A15"/>
      <c r="B15"/>
      <c r="C15"/>
    </row>
    <row r="16" spans="1:3" x14ac:dyDescent="0.25">
      <c r="A16"/>
      <c r="B16"/>
      <c r="C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6"/>
  <sheetViews>
    <sheetView zoomScale="124" zoomScaleNormal="124" workbookViewId="0">
      <selection activeCell="D6" sqref="D6"/>
    </sheetView>
  </sheetViews>
  <sheetFormatPr defaultColWidth="11.6640625" defaultRowHeight="13.2" x14ac:dyDescent="0.25"/>
  <cols>
    <col min="1" max="1" width="7.5546875" style="5" bestFit="1" customWidth="1"/>
    <col min="2" max="2" width="8.5546875" style="5" bestFit="1" customWidth="1"/>
    <col min="3" max="3" width="6.109375" style="5" bestFit="1" customWidth="1"/>
    <col min="4" max="5" width="6.88671875" style="5" bestFit="1" customWidth="1"/>
    <col min="6" max="6" width="9.109375" style="5" bestFit="1" customWidth="1"/>
    <col min="7" max="7" width="5.88671875" customWidth="1"/>
  </cols>
  <sheetData>
    <row r="1" spans="1:7" x14ac:dyDescent="0.25">
      <c r="A1" s="2" t="s">
        <v>28</v>
      </c>
      <c r="B1" s="2" t="s">
        <v>1</v>
      </c>
      <c r="C1" s="2" t="s">
        <v>2</v>
      </c>
      <c r="D1" s="2" t="s">
        <v>13</v>
      </c>
      <c r="E1" s="2" t="s">
        <v>18</v>
      </c>
      <c r="F1" s="2" t="s">
        <v>27</v>
      </c>
    </row>
    <row r="2" spans="1:7" x14ac:dyDescent="0.25">
      <c r="A2">
        <v>1</v>
      </c>
      <c r="B2">
        <v>1</v>
      </c>
      <c r="C2">
        <v>2</v>
      </c>
      <c r="D2">
        <v>3.0300000000000001E-2</v>
      </c>
      <c r="E2">
        <v>9.9900000000000003E-2</v>
      </c>
      <c r="F2">
        <v>2.5399999999999999E-2</v>
      </c>
    </row>
    <row r="3" spans="1:7" x14ac:dyDescent="0.25">
      <c r="A3">
        <f>A2+1</f>
        <v>2</v>
      </c>
      <c r="B3">
        <v>1</v>
      </c>
      <c r="C3">
        <v>3</v>
      </c>
      <c r="D3">
        <v>1.29E-2</v>
      </c>
      <c r="E3">
        <v>4.24E-2</v>
      </c>
      <c r="F3">
        <v>1.082E-2</v>
      </c>
    </row>
    <row r="4" spans="1:7" x14ac:dyDescent="0.25">
      <c r="A4">
        <f t="shared" ref="A4:A67" si="0">A3+1</f>
        <v>3</v>
      </c>
      <c r="B4">
        <v>2</v>
      </c>
      <c r="C4">
        <v>12</v>
      </c>
      <c r="D4">
        <v>1.8700000000000001E-2</v>
      </c>
      <c r="E4">
        <v>6.1600000000000002E-2</v>
      </c>
      <c r="F4">
        <v>1.5720000000000001E-2</v>
      </c>
    </row>
    <row r="5" spans="1:7" x14ac:dyDescent="0.25">
      <c r="A5">
        <f t="shared" si="0"/>
        <v>4</v>
      </c>
      <c r="B5">
        <v>3</v>
      </c>
      <c r="C5">
        <v>5</v>
      </c>
      <c r="D5">
        <v>2.41E-2</v>
      </c>
      <c r="E5">
        <v>0.108</v>
      </c>
      <c r="F5">
        <v>2.8400000000000002E-2</v>
      </c>
    </row>
    <row r="6" spans="1:7" x14ac:dyDescent="0.25">
      <c r="A6">
        <f t="shared" si="0"/>
        <v>5</v>
      </c>
      <c r="B6">
        <v>3</v>
      </c>
      <c r="C6">
        <v>12</v>
      </c>
      <c r="D6">
        <v>4.8399999999999999E-2</v>
      </c>
      <c r="E6">
        <v>0.16</v>
      </c>
      <c r="F6">
        <v>4.0599999999999997E-2</v>
      </c>
    </row>
    <row r="7" spans="1:7" x14ac:dyDescent="0.25">
      <c r="A7">
        <f t="shared" si="0"/>
        <v>6</v>
      </c>
      <c r="B7">
        <v>4</v>
      </c>
      <c r="C7">
        <v>5</v>
      </c>
      <c r="D7">
        <v>1.7600000000000001E-3</v>
      </c>
      <c r="E7">
        <v>7.9799999999999992E-3</v>
      </c>
      <c r="F7">
        <v>2.0999999999999999E-3</v>
      </c>
    </row>
    <row r="8" spans="1:7" x14ac:dyDescent="0.25">
      <c r="A8">
        <f t="shared" si="0"/>
        <v>7</v>
      </c>
      <c r="B8">
        <v>4</v>
      </c>
      <c r="C8">
        <v>11</v>
      </c>
      <c r="D8">
        <v>2.0899999999999998E-2</v>
      </c>
      <c r="E8">
        <v>6.88E-2</v>
      </c>
      <c r="F8">
        <v>1.7479999999999999E-2</v>
      </c>
    </row>
    <row r="9" spans="1:7" x14ac:dyDescent="0.25">
      <c r="A9">
        <f t="shared" si="0"/>
        <v>8</v>
      </c>
      <c r="B9">
        <v>5</v>
      </c>
      <c r="C9">
        <v>6</v>
      </c>
      <c r="D9">
        <v>1.1900000000000001E-2</v>
      </c>
      <c r="E9">
        <v>5.3999999999999999E-2</v>
      </c>
      <c r="F9">
        <v>1.426E-2</v>
      </c>
    </row>
    <row r="10" spans="1:7" x14ac:dyDescent="0.25">
      <c r="A10">
        <f t="shared" si="0"/>
        <v>9</v>
      </c>
      <c r="B10">
        <v>5</v>
      </c>
      <c r="C10">
        <v>11</v>
      </c>
      <c r="D10">
        <v>2.0299999999999999E-2</v>
      </c>
      <c r="E10">
        <v>6.8199999999999997E-2</v>
      </c>
      <c r="F10">
        <v>1.738E-2</v>
      </c>
    </row>
    <row r="11" spans="1:7" x14ac:dyDescent="0.25">
      <c r="A11">
        <f t="shared" si="0"/>
        <v>10</v>
      </c>
      <c r="B11">
        <v>6</v>
      </c>
      <c r="C11">
        <v>7</v>
      </c>
      <c r="D11">
        <v>4.5900000000000003E-3</v>
      </c>
      <c r="E11">
        <v>2.0799999999999999E-2</v>
      </c>
      <c r="F11">
        <v>5.4999999999999997E-3</v>
      </c>
    </row>
    <row r="12" spans="1:7" x14ac:dyDescent="0.25">
      <c r="A12">
        <f t="shared" si="0"/>
        <v>11</v>
      </c>
      <c r="B12">
        <v>7</v>
      </c>
      <c r="C12">
        <v>12</v>
      </c>
      <c r="D12">
        <v>8.6199999999999992E-3</v>
      </c>
      <c r="E12">
        <v>3.4000000000000002E-2</v>
      </c>
      <c r="F12">
        <v>8.7399999999999995E-3</v>
      </c>
    </row>
    <row r="13" spans="1:7" x14ac:dyDescent="0.25">
      <c r="A13">
        <f t="shared" si="0"/>
        <v>12</v>
      </c>
      <c r="B13">
        <v>8</v>
      </c>
      <c r="C13">
        <v>30</v>
      </c>
      <c r="D13">
        <v>4.3099999999999996E-3</v>
      </c>
      <c r="E13">
        <v>5.04E-2</v>
      </c>
      <c r="F13">
        <v>0.51400000000000001</v>
      </c>
    </row>
    <row r="14" spans="1:7" x14ac:dyDescent="0.25">
      <c r="A14">
        <f t="shared" si="0"/>
        <v>13</v>
      </c>
      <c r="B14">
        <v>11</v>
      </c>
      <c r="C14">
        <v>12</v>
      </c>
      <c r="D14">
        <v>5.9500000000000004E-3</v>
      </c>
      <c r="E14">
        <v>1.9599999999999999E-2</v>
      </c>
      <c r="F14">
        <v>5.0200000000000002E-3</v>
      </c>
    </row>
    <row r="15" spans="1:7" x14ac:dyDescent="0.25">
      <c r="A15">
        <f t="shared" si="0"/>
        <v>14</v>
      </c>
      <c r="B15">
        <v>11</v>
      </c>
      <c r="C15">
        <v>13</v>
      </c>
      <c r="D15">
        <v>2.2249999999999999E-2</v>
      </c>
      <c r="E15">
        <v>7.3099999999999998E-2</v>
      </c>
      <c r="F15">
        <v>1.8759999999999999E-2</v>
      </c>
      <c r="G15" s="20"/>
    </row>
    <row r="16" spans="1:7" x14ac:dyDescent="0.25">
      <c r="A16">
        <f t="shared" si="0"/>
        <v>15</v>
      </c>
      <c r="B16">
        <v>12</v>
      </c>
      <c r="C16">
        <v>14</v>
      </c>
      <c r="D16">
        <v>2.1499999999999998E-2</v>
      </c>
      <c r="E16">
        <v>7.0699999999999999E-2</v>
      </c>
      <c r="F16">
        <v>1.8159999999999999E-2</v>
      </c>
      <c r="G16" s="20"/>
    </row>
    <row r="17" spans="1:7" x14ac:dyDescent="0.25">
      <c r="A17">
        <f t="shared" si="0"/>
        <v>16</v>
      </c>
      <c r="B17">
        <v>12</v>
      </c>
      <c r="C17">
        <v>16</v>
      </c>
      <c r="D17">
        <v>2.12E-2</v>
      </c>
      <c r="E17">
        <v>8.3400000000000002E-2</v>
      </c>
      <c r="F17">
        <v>2.1399999999999999E-2</v>
      </c>
      <c r="G17" s="20"/>
    </row>
    <row r="18" spans="1:7" x14ac:dyDescent="0.25">
      <c r="A18">
        <f t="shared" si="0"/>
        <v>17</v>
      </c>
      <c r="B18">
        <v>12</v>
      </c>
      <c r="C18">
        <v>117</v>
      </c>
      <c r="D18">
        <v>3.2899999999999999E-2</v>
      </c>
      <c r="E18">
        <v>0.14000000000000001</v>
      </c>
      <c r="F18">
        <v>3.5799999999999998E-2</v>
      </c>
      <c r="G18" s="20"/>
    </row>
    <row r="19" spans="1:7" x14ac:dyDescent="0.25">
      <c r="A19">
        <f t="shared" si="0"/>
        <v>18</v>
      </c>
      <c r="B19">
        <v>13</v>
      </c>
      <c r="C19">
        <v>15</v>
      </c>
      <c r="D19">
        <v>7.4399999999999994E-2</v>
      </c>
      <c r="E19">
        <v>0.24440000000000001</v>
      </c>
      <c r="F19">
        <v>6.268E-2</v>
      </c>
      <c r="G19" s="20"/>
    </row>
    <row r="20" spans="1:7" x14ac:dyDescent="0.25">
      <c r="A20">
        <f t="shared" si="0"/>
        <v>19</v>
      </c>
      <c r="B20">
        <v>14</v>
      </c>
      <c r="C20">
        <v>15</v>
      </c>
      <c r="D20">
        <v>5.9499999999999997E-2</v>
      </c>
      <c r="E20">
        <v>0.19500000000000001</v>
      </c>
      <c r="F20">
        <v>5.0200000000000002E-2</v>
      </c>
      <c r="G20" s="20"/>
    </row>
    <row r="21" spans="1:7" x14ac:dyDescent="0.25">
      <c r="A21">
        <f t="shared" si="0"/>
        <v>20</v>
      </c>
      <c r="B21">
        <v>15</v>
      </c>
      <c r="C21">
        <v>17</v>
      </c>
      <c r="D21">
        <v>1.32E-2</v>
      </c>
      <c r="E21">
        <v>4.3700000000000003E-2</v>
      </c>
      <c r="F21">
        <v>4.4400000000000002E-2</v>
      </c>
      <c r="G21" s="20"/>
    </row>
    <row r="22" spans="1:7" x14ac:dyDescent="0.25">
      <c r="A22">
        <f t="shared" si="0"/>
        <v>21</v>
      </c>
      <c r="B22">
        <v>15</v>
      </c>
      <c r="C22">
        <v>19</v>
      </c>
      <c r="D22">
        <v>1.2E-2</v>
      </c>
      <c r="E22">
        <v>3.9399999999999998E-2</v>
      </c>
      <c r="F22">
        <v>1.01E-2</v>
      </c>
      <c r="G22" s="20"/>
    </row>
    <row r="23" spans="1:7" x14ac:dyDescent="0.25">
      <c r="A23">
        <f t="shared" si="0"/>
        <v>22</v>
      </c>
      <c r="B23">
        <v>15</v>
      </c>
      <c r="C23">
        <v>33</v>
      </c>
      <c r="D23">
        <v>3.7999999999999999E-2</v>
      </c>
      <c r="E23">
        <v>0.1244</v>
      </c>
      <c r="F23">
        <v>3.1940000000000003E-2</v>
      </c>
      <c r="G23" s="20"/>
    </row>
    <row r="24" spans="1:7" x14ac:dyDescent="0.25">
      <c r="A24">
        <f t="shared" si="0"/>
        <v>23</v>
      </c>
      <c r="B24">
        <v>16</v>
      </c>
      <c r="C24">
        <v>17</v>
      </c>
      <c r="D24">
        <v>4.5400000000000003E-2</v>
      </c>
      <c r="E24">
        <v>0.18010000000000001</v>
      </c>
      <c r="F24">
        <v>4.6600000000000003E-2</v>
      </c>
      <c r="G24" s="20"/>
    </row>
    <row r="25" spans="1:7" x14ac:dyDescent="0.25">
      <c r="A25">
        <f t="shared" si="0"/>
        <v>24</v>
      </c>
      <c r="B25">
        <v>17</v>
      </c>
      <c r="C25">
        <v>18</v>
      </c>
      <c r="D25">
        <v>1.23E-2</v>
      </c>
      <c r="E25">
        <v>5.0500000000000003E-2</v>
      </c>
      <c r="F25">
        <v>1.298E-2</v>
      </c>
      <c r="G25" s="20"/>
    </row>
    <row r="26" spans="1:7" x14ac:dyDescent="0.25">
      <c r="A26">
        <f t="shared" si="0"/>
        <v>25</v>
      </c>
      <c r="B26">
        <v>17</v>
      </c>
      <c r="C26">
        <v>31</v>
      </c>
      <c r="D26">
        <v>4.7399999999999998E-2</v>
      </c>
      <c r="E26">
        <v>0.15629999999999999</v>
      </c>
      <c r="F26">
        <v>3.9899999999999998E-2</v>
      </c>
      <c r="G26" s="20"/>
    </row>
    <row r="27" spans="1:7" x14ac:dyDescent="0.25">
      <c r="A27">
        <f t="shared" si="0"/>
        <v>26</v>
      </c>
      <c r="B27">
        <v>17</v>
      </c>
      <c r="C27">
        <v>113</v>
      </c>
      <c r="D27">
        <v>9.1299999999999992E-3</v>
      </c>
      <c r="E27">
        <v>3.0099999999999998E-2</v>
      </c>
      <c r="F27">
        <v>7.6800000000000002E-3</v>
      </c>
      <c r="G27" s="20"/>
    </row>
    <row r="28" spans="1:7" x14ac:dyDescent="0.25">
      <c r="A28">
        <f t="shared" si="0"/>
        <v>27</v>
      </c>
      <c r="B28">
        <v>18</v>
      </c>
      <c r="C28">
        <v>19</v>
      </c>
      <c r="D28">
        <v>1.119E-2</v>
      </c>
      <c r="E28">
        <v>4.9299999999999997E-2</v>
      </c>
      <c r="F28">
        <v>1.142E-2</v>
      </c>
      <c r="G28" s="20"/>
    </row>
    <row r="29" spans="1:7" x14ac:dyDescent="0.25">
      <c r="A29">
        <f t="shared" si="0"/>
        <v>28</v>
      </c>
      <c r="B29">
        <v>19</v>
      </c>
      <c r="C29">
        <v>20</v>
      </c>
      <c r="D29">
        <v>2.52E-2</v>
      </c>
      <c r="E29">
        <v>0.11700000000000001</v>
      </c>
      <c r="F29">
        <v>2.98E-2</v>
      </c>
    </row>
    <row r="30" spans="1:7" x14ac:dyDescent="0.25">
      <c r="A30">
        <f t="shared" si="0"/>
        <v>29</v>
      </c>
      <c r="B30">
        <v>19</v>
      </c>
      <c r="C30">
        <v>34</v>
      </c>
      <c r="D30">
        <v>7.5200000000000003E-2</v>
      </c>
      <c r="E30">
        <v>0.247</v>
      </c>
      <c r="F30">
        <v>6.3200000000000006E-2</v>
      </c>
    </row>
    <row r="31" spans="1:7" x14ac:dyDescent="0.25">
      <c r="A31">
        <f t="shared" si="0"/>
        <v>30</v>
      </c>
      <c r="B31">
        <v>20</v>
      </c>
      <c r="C31">
        <v>21</v>
      </c>
      <c r="D31">
        <v>1.83E-2</v>
      </c>
      <c r="E31">
        <v>8.4900000000000003E-2</v>
      </c>
      <c r="F31">
        <v>2.1600000000000001E-2</v>
      </c>
    </row>
    <row r="32" spans="1:7" x14ac:dyDescent="0.25">
      <c r="A32">
        <f t="shared" si="0"/>
        <v>31</v>
      </c>
      <c r="B32">
        <v>21</v>
      </c>
      <c r="C32">
        <v>22</v>
      </c>
      <c r="D32">
        <v>2.0899999999999998E-2</v>
      </c>
      <c r="E32">
        <v>9.7000000000000003E-2</v>
      </c>
      <c r="F32">
        <v>2.46E-2</v>
      </c>
    </row>
    <row r="33" spans="1:6" x14ac:dyDescent="0.25">
      <c r="A33">
        <f t="shared" si="0"/>
        <v>32</v>
      </c>
      <c r="B33">
        <v>22</v>
      </c>
      <c r="C33">
        <v>23</v>
      </c>
      <c r="D33">
        <v>3.4200000000000001E-2</v>
      </c>
      <c r="E33">
        <v>0.159</v>
      </c>
      <c r="F33">
        <v>4.0399999999999998E-2</v>
      </c>
    </row>
    <row r="34" spans="1:6" x14ac:dyDescent="0.25">
      <c r="A34">
        <f t="shared" si="0"/>
        <v>33</v>
      </c>
      <c r="B34">
        <v>23</v>
      </c>
      <c r="C34">
        <v>24</v>
      </c>
      <c r="D34">
        <v>1.35E-2</v>
      </c>
      <c r="E34">
        <v>4.9200000000000001E-2</v>
      </c>
      <c r="F34">
        <v>4.9799999999999997E-2</v>
      </c>
    </row>
    <row r="35" spans="1:6" x14ac:dyDescent="0.25">
      <c r="A35">
        <f t="shared" si="0"/>
        <v>34</v>
      </c>
      <c r="B35">
        <v>23</v>
      </c>
      <c r="C35">
        <v>25</v>
      </c>
      <c r="D35">
        <v>1.5599999999999999E-2</v>
      </c>
      <c r="E35">
        <v>0.08</v>
      </c>
      <c r="F35">
        <v>8.6400000000000005E-2</v>
      </c>
    </row>
    <row r="36" spans="1:6" x14ac:dyDescent="0.25">
      <c r="A36">
        <f t="shared" si="0"/>
        <v>35</v>
      </c>
      <c r="B36">
        <v>23</v>
      </c>
      <c r="C36">
        <v>32</v>
      </c>
      <c r="D36">
        <v>3.1699999999999999E-2</v>
      </c>
      <c r="E36">
        <v>0.1153</v>
      </c>
      <c r="F36">
        <v>0.1173</v>
      </c>
    </row>
    <row r="37" spans="1:6" x14ac:dyDescent="0.25">
      <c r="A37">
        <f t="shared" si="0"/>
        <v>36</v>
      </c>
      <c r="B37">
        <v>24</v>
      </c>
      <c r="C37">
        <v>70</v>
      </c>
      <c r="D37">
        <v>2.2100000000000002E-3</v>
      </c>
      <c r="E37">
        <v>0.41149999999999998</v>
      </c>
      <c r="F37">
        <v>0.10198</v>
      </c>
    </row>
    <row r="38" spans="1:6" x14ac:dyDescent="0.25">
      <c r="A38">
        <f t="shared" si="0"/>
        <v>37</v>
      </c>
      <c r="B38">
        <v>24</v>
      </c>
      <c r="C38">
        <v>72</v>
      </c>
      <c r="D38">
        <v>4.8800000000000003E-2</v>
      </c>
      <c r="E38">
        <v>0.19600000000000001</v>
      </c>
      <c r="F38">
        <v>4.8800000000000003E-2</v>
      </c>
    </row>
    <row r="39" spans="1:6" x14ac:dyDescent="0.25">
      <c r="A39">
        <f t="shared" si="0"/>
        <v>38</v>
      </c>
      <c r="B39">
        <v>25</v>
      </c>
      <c r="C39">
        <v>27</v>
      </c>
      <c r="D39">
        <v>3.1800000000000002E-2</v>
      </c>
      <c r="E39">
        <v>0.16300000000000001</v>
      </c>
      <c r="F39">
        <v>0.1764</v>
      </c>
    </row>
    <row r="40" spans="1:6" x14ac:dyDescent="0.25">
      <c r="A40">
        <f t="shared" si="0"/>
        <v>39</v>
      </c>
      <c r="B40">
        <v>26</v>
      </c>
      <c r="C40">
        <v>30</v>
      </c>
      <c r="D40">
        <v>7.9900000000000006E-3</v>
      </c>
      <c r="E40">
        <v>8.5999999999999993E-2</v>
      </c>
      <c r="F40">
        <v>0.90800000000000003</v>
      </c>
    </row>
    <row r="41" spans="1:6" x14ac:dyDescent="0.25">
      <c r="A41">
        <f t="shared" si="0"/>
        <v>40</v>
      </c>
      <c r="B41">
        <v>27</v>
      </c>
      <c r="C41">
        <v>28</v>
      </c>
      <c r="D41">
        <v>1.9130000000000001E-2</v>
      </c>
      <c r="E41">
        <v>8.5500000000000007E-2</v>
      </c>
      <c r="F41">
        <v>2.1600000000000001E-2</v>
      </c>
    </row>
    <row r="42" spans="1:6" x14ac:dyDescent="0.25">
      <c r="A42">
        <f t="shared" si="0"/>
        <v>41</v>
      </c>
      <c r="B42">
        <v>27</v>
      </c>
      <c r="C42">
        <v>32</v>
      </c>
      <c r="D42">
        <v>2.29E-2</v>
      </c>
      <c r="E42">
        <v>7.5499999999999998E-2</v>
      </c>
      <c r="F42">
        <v>1.9259999999999999E-2</v>
      </c>
    </row>
    <row r="43" spans="1:6" x14ac:dyDescent="0.25">
      <c r="A43">
        <f t="shared" si="0"/>
        <v>42</v>
      </c>
      <c r="B43">
        <v>27</v>
      </c>
      <c r="C43">
        <v>115</v>
      </c>
      <c r="D43">
        <v>1.6400000000000001E-2</v>
      </c>
      <c r="E43">
        <v>7.4099999999999999E-2</v>
      </c>
      <c r="F43">
        <v>1.9720000000000001E-2</v>
      </c>
    </row>
    <row r="44" spans="1:6" x14ac:dyDescent="0.25">
      <c r="A44">
        <f t="shared" si="0"/>
        <v>43</v>
      </c>
      <c r="B44">
        <v>28</v>
      </c>
      <c r="C44">
        <v>29</v>
      </c>
      <c r="D44">
        <v>2.3699999999999999E-2</v>
      </c>
      <c r="E44">
        <v>9.4299999999999995E-2</v>
      </c>
      <c r="F44">
        <v>2.3800000000000002E-2</v>
      </c>
    </row>
    <row r="45" spans="1:6" x14ac:dyDescent="0.25">
      <c r="A45">
        <f t="shared" si="0"/>
        <v>44</v>
      </c>
      <c r="B45">
        <v>29</v>
      </c>
      <c r="C45">
        <v>31</v>
      </c>
      <c r="D45">
        <v>1.0800000000000001E-2</v>
      </c>
      <c r="E45">
        <v>3.3099999999999997E-2</v>
      </c>
      <c r="F45">
        <v>8.3000000000000001E-3</v>
      </c>
    </row>
    <row r="46" spans="1:6" x14ac:dyDescent="0.25">
      <c r="A46">
        <f t="shared" si="0"/>
        <v>45</v>
      </c>
      <c r="B46">
        <v>30</v>
      </c>
      <c r="C46">
        <v>38</v>
      </c>
      <c r="D46">
        <v>4.64E-3</v>
      </c>
      <c r="E46">
        <v>5.3999999999999999E-2</v>
      </c>
      <c r="F46">
        <v>0.42199999999999999</v>
      </c>
    </row>
    <row r="47" spans="1:6" x14ac:dyDescent="0.25">
      <c r="A47">
        <f t="shared" si="0"/>
        <v>46</v>
      </c>
      <c r="B47">
        <v>31</v>
      </c>
      <c r="C47">
        <v>32</v>
      </c>
      <c r="D47">
        <v>2.98E-2</v>
      </c>
      <c r="E47">
        <v>9.8500000000000004E-2</v>
      </c>
      <c r="F47">
        <v>2.5100000000000001E-2</v>
      </c>
    </row>
    <row r="48" spans="1:6" x14ac:dyDescent="0.25">
      <c r="A48">
        <f t="shared" si="0"/>
        <v>47</v>
      </c>
      <c r="B48">
        <v>32</v>
      </c>
      <c r="C48">
        <v>113</v>
      </c>
      <c r="D48">
        <v>6.1499999999999999E-2</v>
      </c>
      <c r="E48">
        <v>0.20300000000000001</v>
      </c>
      <c r="F48">
        <v>5.1799999999999999E-2</v>
      </c>
    </row>
    <row r="49" spans="1:6" x14ac:dyDescent="0.25">
      <c r="A49">
        <f t="shared" si="0"/>
        <v>48</v>
      </c>
      <c r="B49">
        <v>32</v>
      </c>
      <c r="C49">
        <v>114</v>
      </c>
      <c r="D49">
        <v>1.35E-2</v>
      </c>
      <c r="E49">
        <v>6.1199999999999997E-2</v>
      </c>
      <c r="F49">
        <v>1.6279999999999999E-2</v>
      </c>
    </row>
    <row r="50" spans="1:6" x14ac:dyDescent="0.25">
      <c r="A50">
        <f t="shared" si="0"/>
        <v>49</v>
      </c>
      <c r="B50">
        <v>33</v>
      </c>
      <c r="C50">
        <v>37</v>
      </c>
      <c r="D50">
        <v>4.1500000000000002E-2</v>
      </c>
      <c r="E50">
        <v>0.14199999999999999</v>
      </c>
      <c r="F50">
        <v>3.6600000000000001E-2</v>
      </c>
    </row>
    <row r="51" spans="1:6" x14ac:dyDescent="0.25">
      <c r="A51">
        <f t="shared" si="0"/>
        <v>50</v>
      </c>
      <c r="B51">
        <v>34</v>
      </c>
      <c r="C51">
        <v>36</v>
      </c>
      <c r="D51">
        <v>8.7100000000000007E-3</v>
      </c>
      <c r="E51">
        <v>2.6800000000000001E-2</v>
      </c>
      <c r="F51">
        <v>5.6800000000000002E-3</v>
      </c>
    </row>
    <row r="52" spans="1:6" x14ac:dyDescent="0.25">
      <c r="A52">
        <f t="shared" si="0"/>
        <v>51</v>
      </c>
      <c r="B52">
        <v>34</v>
      </c>
      <c r="C52">
        <v>37</v>
      </c>
      <c r="D52">
        <v>2.5600000000000002E-3</v>
      </c>
      <c r="E52">
        <v>9.4000000000000004E-3</v>
      </c>
      <c r="F52">
        <v>9.8399999999999998E-3</v>
      </c>
    </row>
    <row r="53" spans="1:6" x14ac:dyDescent="0.25">
      <c r="A53">
        <f t="shared" si="0"/>
        <v>52</v>
      </c>
      <c r="B53">
        <v>34</v>
      </c>
      <c r="C53">
        <v>43</v>
      </c>
      <c r="D53">
        <v>4.1300000000000003E-2</v>
      </c>
      <c r="E53">
        <v>0.1681</v>
      </c>
      <c r="F53">
        <v>4.2259999999999999E-2</v>
      </c>
    </row>
    <row r="54" spans="1:6" x14ac:dyDescent="0.25">
      <c r="A54">
        <f t="shared" si="0"/>
        <v>53</v>
      </c>
      <c r="B54">
        <v>35</v>
      </c>
      <c r="C54">
        <v>36</v>
      </c>
      <c r="D54">
        <v>2.2399999999999998E-3</v>
      </c>
      <c r="E54">
        <v>1.0200000000000001E-2</v>
      </c>
      <c r="F54">
        <v>2.6800000000000001E-3</v>
      </c>
    </row>
    <row r="55" spans="1:6" x14ac:dyDescent="0.25">
      <c r="A55">
        <f t="shared" si="0"/>
        <v>54</v>
      </c>
      <c r="B55">
        <v>35</v>
      </c>
      <c r="C55">
        <v>37</v>
      </c>
      <c r="D55">
        <v>1.0999999999999999E-2</v>
      </c>
      <c r="E55">
        <v>4.9700000000000001E-2</v>
      </c>
      <c r="F55">
        <v>1.3180000000000001E-2</v>
      </c>
    </row>
    <row r="56" spans="1:6" x14ac:dyDescent="0.25">
      <c r="A56">
        <f t="shared" si="0"/>
        <v>55</v>
      </c>
      <c r="B56">
        <v>37</v>
      </c>
      <c r="C56">
        <v>39</v>
      </c>
      <c r="D56">
        <v>3.2099999999999997E-2</v>
      </c>
      <c r="E56">
        <v>0.106</v>
      </c>
      <c r="F56">
        <v>2.7E-2</v>
      </c>
    </row>
    <row r="57" spans="1:6" x14ac:dyDescent="0.25">
      <c r="A57">
        <f t="shared" si="0"/>
        <v>56</v>
      </c>
      <c r="B57">
        <v>37</v>
      </c>
      <c r="C57">
        <v>40</v>
      </c>
      <c r="D57">
        <v>5.9299999999999999E-2</v>
      </c>
      <c r="E57">
        <v>0.16800000000000001</v>
      </c>
      <c r="F57">
        <v>4.2000000000000003E-2</v>
      </c>
    </row>
    <row r="58" spans="1:6" x14ac:dyDescent="0.25">
      <c r="A58">
        <f t="shared" si="0"/>
        <v>57</v>
      </c>
      <c r="B58">
        <v>38</v>
      </c>
      <c r="C58">
        <v>65</v>
      </c>
      <c r="D58">
        <v>9.0100000000000006E-3</v>
      </c>
      <c r="E58">
        <v>9.8599999999999993E-2</v>
      </c>
      <c r="F58">
        <v>1.046</v>
      </c>
    </row>
    <row r="59" spans="1:6" x14ac:dyDescent="0.25">
      <c r="A59">
        <f t="shared" si="0"/>
        <v>58</v>
      </c>
      <c r="B59">
        <v>39</v>
      </c>
      <c r="C59">
        <v>40</v>
      </c>
      <c r="D59">
        <v>1.84E-2</v>
      </c>
      <c r="E59">
        <v>6.0499999999999998E-2</v>
      </c>
      <c r="F59">
        <v>1.5520000000000001E-2</v>
      </c>
    </row>
    <row r="60" spans="1:6" x14ac:dyDescent="0.25">
      <c r="A60">
        <f t="shared" si="0"/>
        <v>59</v>
      </c>
      <c r="B60">
        <v>40</v>
      </c>
      <c r="C60">
        <v>41</v>
      </c>
      <c r="D60">
        <v>1.4500000000000001E-2</v>
      </c>
      <c r="E60">
        <v>4.87E-2</v>
      </c>
      <c r="F60">
        <v>1.222E-2</v>
      </c>
    </row>
    <row r="61" spans="1:6" x14ac:dyDescent="0.25">
      <c r="A61">
        <f t="shared" si="0"/>
        <v>60</v>
      </c>
      <c r="B61">
        <v>40</v>
      </c>
      <c r="C61">
        <v>42</v>
      </c>
      <c r="D61">
        <v>5.5500000000000001E-2</v>
      </c>
      <c r="E61">
        <v>0.183</v>
      </c>
      <c r="F61">
        <v>4.6600000000000003E-2</v>
      </c>
    </row>
    <row r="62" spans="1:6" x14ac:dyDescent="0.25">
      <c r="A62">
        <f t="shared" si="0"/>
        <v>61</v>
      </c>
      <c r="B62">
        <v>41</v>
      </c>
      <c r="C62">
        <v>42</v>
      </c>
      <c r="D62">
        <v>4.1000000000000002E-2</v>
      </c>
      <c r="E62">
        <v>0.13500000000000001</v>
      </c>
      <c r="F62">
        <v>3.44E-2</v>
      </c>
    </row>
    <row r="63" spans="1:6" x14ac:dyDescent="0.25">
      <c r="A63">
        <f t="shared" si="0"/>
        <v>62</v>
      </c>
      <c r="B63" s="27">
        <v>42</v>
      </c>
      <c r="C63" s="27">
        <v>49</v>
      </c>
      <c r="D63" s="27">
        <v>3.5749999999999997E-2</v>
      </c>
      <c r="E63" s="27">
        <v>0.1615</v>
      </c>
      <c r="F63" s="27">
        <f>0.086+0.086</f>
        <v>0.17199999999999999</v>
      </c>
    </row>
    <row r="64" spans="1:6" x14ac:dyDescent="0.25">
      <c r="A64">
        <f t="shared" si="0"/>
        <v>63</v>
      </c>
      <c r="B64">
        <v>43</v>
      </c>
      <c r="C64">
        <v>44</v>
      </c>
      <c r="D64">
        <v>6.08E-2</v>
      </c>
      <c r="E64">
        <v>0.24540000000000001</v>
      </c>
      <c r="F64">
        <v>6.0679999999999998E-2</v>
      </c>
    </row>
    <row r="65" spans="1:6" x14ac:dyDescent="0.25">
      <c r="A65">
        <f t="shared" si="0"/>
        <v>64</v>
      </c>
      <c r="B65">
        <v>44</v>
      </c>
      <c r="C65">
        <v>45</v>
      </c>
      <c r="D65">
        <v>2.24E-2</v>
      </c>
      <c r="E65">
        <v>9.01E-2</v>
      </c>
      <c r="F65">
        <v>2.24E-2</v>
      </c>
    </row>
    <row r="66" spans="1:6" x14ac:dyDescent="0.25">
      <c r="A66">
        <f t="shared" si="0"/>
        <v>65</v>
      </c>
      <c r="B66">
        <v>45</v>
      </c>
      <c r="C66">
        <v>46</v>
      </c>
      <c r="D66">
        <v>0.04</v>
      </c>
      <c r="E66">
        <v>0.1356</v>
      </c>
      <c r="F66">
        <v>3.32E-2</v>
      </c>
    </row>
    <row r="67" spans="1:6" x14ac:dyDescent="0.25">
      <c r="A67">
        <f t="shared" si="0"/>
        <v>66</v>
      </c>
      <c r="B67">
        <v>45</v>
      </c>
      <c r="C67">
        <v>49</v>
      </c>
      <c r="D67">
        <v>6.8400000000000002E-2</v>
      </c>
      <c r="E67">
        <v>0.186</v>
      </c>
      <c r="F67">
        <v>4.4400000000000002E-2</v>
      </c>
    </row>
    <row r="68" spans="1:6" x14ac:dyDescent="0.25">
      <c r="A68">
        <f t="shared" ref="A68:A131" si="1">A67+1</f>
        <v>67</v>
      </c>
      <c r="B68">
        <v>46</v>
      </c>
      <c r="C68">
        <v>47</v>
      </c>
      <c r="D68">
        <v>3.7999999999999999E-2</v>
      </c>
      <c r="E68">
        <v>0.127</v>
      </c>
      <c r="F68">
        <v>3.1600000000000003E-2</v>
      </c>
    </row>
    <row r="69" spans="1:6" x14ac:dyDescent="0.25">
      <c r="A69">
        <f t="shared" si="1"/>
        <v>68</v>
      </c>
      <c r="B69">
        <v>46</v>
      </c>
      <c r="C69">
        <v>48</v>
      </c>
      <c r="D69">
        <v>6.0100000000000001E-2</v>
      </c>
      <c r="E69">
        <v>0.189</v>
      </c>
      <c r="F69">
        <v>4.7199999999999999E-2</v>
      </c>
    </row>
    <row r="70" spans="1:6" x14ac:dyDescent="0.25">
      <c r="A70">
        <f t="shared" si="1"/>
        <v>69</v>
      </c>
      <c r="B70">
        <v>47</v>
      </c>
      <c r="C70">
        <v>49</v>
      </c>
      <c r="D70">
        <v>1.9099999999999999E-2</v>
      </c>
      <c r="E70">
        <v>6.25E-2</v>
      </c>
      <c r="F70">
        <v>1.6039999999999999E-2</v>
      </c>
    </row>
    <row r="71" spans="1:6" x14ac:dyDescent="0.25">
      <c r="A71">
        <f t="shared" si="1"/>
        <v>70</v>
      </c>
      <c r="B71">
        <v>47</v>
      </c>
      <c r="C71">
        <v>69</v>
      </c>
      <c r="D71">
        <v>8.4400000000000003E-2</v>
      </c>
      <c r="E71">
        <v>0.27779999999999999</v>
      </c>
      <c r="F71">
        <v>7.0919999999999997E-2</v>
      </c>
    </row>
    <row r="72" spans="1:6" x14ac:dyDescent="0.25">
      <c r="A72">
        <f t="shared" si="1"/>
        <v>71</v>
      </c>
      <c r="B72">
        <v>48</v>
      </c>
      <c r="C72">
        <v>49</v>
      </c>
      <c r="D72">
        <v>1.7899999999999999E-2</v>
      </c>
      <c r="E72">
        <v>5.0500000000000003E-2</v>
      </c>
      <c r="F72">
        <v>1.2579999999999999E-2</v>
      </c>
    </row>
    <row r="73" spans="1:6" x14ac:dyDescent="0.25">
      <c r="A73">
        <f t="shared" si="1"/>
        <v>72</v>
      </c>
      <c r="B73">
        <v>49</v>
      </c>
      <c r="C73">
        <v>50</v>
      </c>
      <c r="D73">
        <v>2.6700000000000002E-2</v>
      </c>
      <c r="E73">
        <v>7.5200000000000003E-2</v>
      </c>
      <c r="F73">
        <v>1.874E-2</v>
      </c>
    </row>
    <row r="74" spans="1:6" x14ac:dyDescent="0.25">
      <c r="A74">
        <f t="shared" si="1"/>
        <v>73</v>
      </c>
      <c r="B74">
        <v>49</v>
      </c>
      <c r="C74">
        <v>51</v>
      </c>
      <c r="D74">
        <v>4.8599999999999997E-2</v>
      </c>
      <c r="E74">
        <v>0.13700000000000001</v>
      </c>
      <c r="F74">
        <v>3.4200000000000001E-2</v>
      </c>
    </row>
    <row r="75" spans="1:6" x14ac:dyDescent="0.25">
      <c r="A75">
        <f t="shared" si="1"/>
        <v>74</v>
      </c>
      <c r="B75" s="27">
        <v>49</v>
      </c>
      <c r="C75" s="27">
        <v>54</v>
      </c>
      <c r="D75" s="27">
        <v>3.9931831351616001E-2</v>
      </c>
      <c r="E75" s="27">
        <v>0.145069654884695</v>
      </c>
      <c r="F75" s="27">
        <f>0.0738+0.073</f>
        <v>0.14679999999999999</v>
      </c>
    </row>
    <row r="76" spans="1:6" x14ac:dyDescent="0.25">
      <c r="A76">
        <f t="shared" si="1"/>
        <v>75</v>
      </c>
      <c r="B76" s="28">
        <v>49</v>
      </c>
      <c r="C76" s="28">
        <v>66</v>
      </c>
      <c r="D76" s="28">
        <v>8.9999999999999993E-3</v>
      </c>
      <c r="E76" s="28">
        <v>4.5949999999999998E-2</v>
      </c>
      <c r="F76" s="28">
        <f>0.0248+0.0248</f>
        <v>4.9599999999999998E-2</v>
      </c>
    </row>
    <row r="77" spans="1:6" x14ac:dyDescent="0.25">
      <c r="A77">
        <f t="shared" si="1"/>
        <v>76</v>
      </c>
      <c r="B77">
        <v>49</v>
      </c>
      <c r="C77">
        <v>69</v>
      </c>
      <c r="D77">
        <v>9.8500000000000004E-2</v>
      </c>
      <c r="E77">
        <v>0.32400000000000001</v>
      </c>
      <c r="F77">
        <v>8.2799999999999999E-2</v>
      </c>
    </row>
    <row r="78" spans="1:6" x14ac:dyDescent="0.25">
      <c r="A78">
        <f t="shared" si="1"/>
        <v>77</v>
      </c>
      <c r="B78">
        <v>50</v>
      </c>
      <c r="C78">
        <v>57</v>
      </c>
      <c r="D78">
        <v>4.7399999999999998E-2</v>
      </c>
      <c r="E78">
        <v>0.13400000000000001</v>
      </c>
      <c r="F78">
        <v>3.32E-2</v>
      </c>
    </row>
    <row r="79" spans="1:6" x14ac:dyDescent="0.25">
      <c r="A79">
        <f t="shared" si="1"/>
        <v>78</v>
      </c>
      <c r="B79">
        <v>51</v>
      </c>
      <c r="C79">
        <v>52</v>
      </c>
      <c r="D79">
        <v>2.0299999999999999E-2</v>
      </c>
      <c r="E79">
        <v>5.8799999999999998E-2</v>
      </c>
      <c r="F79">
        <v>1.396E-2</v>
      </c>
    </row>
    <row r="80" spans="1:6" x14ac:dyDescent="0.25">
      <c r="A80">
        <f t="shared" si="1"/>
        <v>79</v>
      </c>
      <c r="B80">
        <v>51</v>
      </c>
      <c r="C80">
        <v>58</v>
      </c>
      <c r="D80">
        <v>2.5499999999999998E-2</v>
      </c>
      <c r="E80">
        <v>7.1900000000000006E-2</v>
      </c>
      <c r="F80">
        <v>1.788E-2</v>
      </c>
    </row>
    <row r="81" spans="1:6" x14ac:dyDescent="0.25">
      <c r="A81">
        <f t="shared" si="1"/>
        <v>80</v>
      </c>
      <c r="B81">
        <v>52</v>
      </c>
      <c r="C81">
        <v>53</v>
      </c>
      <c r="D81">
        <v>4.0500000000000001E-2</v>
      </c>
      <c r="E81">
        <v>0.16350000000000001</v>
      </c>
      <c r="F81">
        <v>4.0579999999999998E-2</v>
      </c>
    </row>
    <row r="82" spans="1:6" x14ac:dyDescent="0.25">
      <c r="A82">
        <f t="shared" si="1"/>
        <v>81</v>
      </c>
      <c r="B82">
        <v>53</v>
      </c>
      <c r="C82">
        <v>54</v>
      </c>
      <c r="D82">
        <v>2.63E-2</v>
      </c>
      <c r="E82">
        <v>0.122</v>
      </c>
      <c r="F82">
        <v>3.1E-2</v>
      </c>
    </row>
    <row r="83" spans="1:6" x14ac:dyDescent="0.25">
      <c r="A83">
        <f t="shared" si="1"/>
        <v>82</v>
      </c>
      <c r="B83">
        <v>54</v>
      </c>
      <c r="C83">
        <v>55</v>
      </c>
      <c r="D83">
        <v>1.6899999999999998E-2</v>
      </c>
      <c r="E83">
        <v>7.0699999999999999E-2</v>
      </c>
      <c r="F83">
        <v>2.0199999999999999E-2</v>
      </c>
    </row>
    <row r="84" spans="1:6" x14ac:dyDescent="0.25">
      <c r="A84">
        <f t="shared" si="1"/>
        <v>83</v>
      </c>
      <c r="B84">
        <v>54</v>
      </c>
      <c r="C84">
        <v>56</v>
      </c>
      <c r="D84">
        <v>2.7499999999999998E-3</v>
      </c>
      <c r="E84">
        <v>9.5499999999999995E-3</v>
      </c>
      <c r="F84">
        <v>7.3200000000000001E-3</v>
      </c>
    </row>
    <row r="85" spans="1:6" x14ac:dyDescent="0.25">
      <c r="A85">
        <f t="shared" si="1"/>
        <v>84</v>
      </c>
      <c r="B85">
        <v>54</v>
      </c>
      <c r="C85">
        <v>59</v>
      </c>
      <c r="D85">
        <v>5.0299999999999997E-2</v>
      </c>
      <c r="E85">
        <v>0.2293</v>
      </c>
      <c r="F85">
        <v>5.9799999999999999E-2</v>
      </c>
    </row>
    <row r="86" spans="1:6" x14ac:dyDescent="0.25">
      <c r="A86">
        <f t="shared" si="1"/>
        <v>85</v>
      </c>
      <c r="B86">
        <v>55</v>
      </c>
      <c r="C86">
        <v>56</v>
      </c>
      <c r="D86">
        <v>4.8799999999999998E-3</v>
      </c>
      <c r="E86">
        <v>1.5100000000000001E-2</v>
      </c>
      <c r="F86">
        <v>3.7399999999999998E-3</v>
      </c>
    </row>
    <row r="87" spans="1:6" x14ac:dyDescent="0.25">
      <c r="A87">
        <f t="shared" si="1"/>
        <v>86</v>
      </c>
      <c r="B87">
        <v>55</v>
      </c>
      <c r="C87">
        <v>59</v>
      </c>
      <c r="D87">
        <v>4.7390000000000002E-2</v>
      </c>
      <c r="E87">
        <v>0.21579999999999999</v>
      </c>
      <c r="F87">
        <v>5.6460000000000003E-2</v>
      </c>
    </row>
    <row r="88" spans="1:6" x14ac:dyDescent="0.25">
      <c r="A88">
        <f t="shared" si="1"/>
        <v>87</v>
      </c>
      <c r="B88">
        <v>56</v>
      </c>
      <c r="C88">
        <v>57</v>
      </c>
      <c r="D88">
        <v>3.4299999999999997E-2</v>
      </c>
      <c r="E88">
        <v>9.6600000000000005E-2</v>
      </c>
      <c r="F88">
        <v>2.4199999999999999E-2</v>
      </c>
    </row>
    <row r="89" spans="1:6" x14ac:dyDescent="0.25">
      <c r="A89">
        <f t="shared" si="1"/>
        <v>88</v>
      </c>
      <c r="B89">
        <v>56</v>
      </c>
      <c r="C89">
        <v>58</v>
      </c>
      <c r="D89">
        <v>3.4299999999999997E-2</v>
      </c>
      <c r="E89">
        <v>9.6600000000000005E-2</v>
      </c>
      <c r="F89">
        <v>2.4199999999999999E-2</v>
      </c>
    </row>
    <row r="90" spans="1:6" x14ac:dyDescent="0.25">
      <c r="A90">
        <f t="shared" si="1"/>
        <v>89</v>
      </c>
      <c r="B90" s="27">
        <v>56</v>
      </c>
      <c r="C90" s="27">
        <v>59</v>
      </c>
      <c r="D90" s="27">
        <v>4.0696983584331999E-2</v>
      </c>
      <c r="E90" s="27">
        <v>0.122427997811284</v>
      </c>
      <c r="F90" s="27">
        <f>0.0569+0.0536</f>
        <v>0.1105</v>
      </c>
    </row>
    <row r="91" spans="1:6" x14ac:dyDescent="0.25">
      <c r="A91">
        <f t="shared" si="1"/>
        <v>90</v>
      </c>
      <c r="B91">
        <v>59</v>
      </c>
      <c r="C91">
        <v>60</v>
      </c>
      <c r="D91">
        <v>3.1699999999999999E-2</v>
      </c>
      <c r="E91">
        <v>0.14499999999999999</v>
      </c>
      <c r="F91">
        <v>3.7600000000000001E-2</v>
      </c>
    </row>
    <row r="92" spans="1:6" x14ac:dyDescent="0.25">
      <c r="A92">
        <f t="shared" si="1"/>
        <v>91</v>
      </c>
      <c r="B92">
        <v>59</v>
      </c>
      <c r="C92">
        <v>61</v>
      </c>
      <c r="D92">
        <v>3.2800000000000003E-2</v>
      </c>
      <c r="E92">
        <v>0.15</v>
      </c>
      <c r="F92">
        <v>3.8800000000000001E-2</v>
      </c>
    </row>
    <row r="93" spans="1:6" x14ac:dyDescent="0.25">
      <c r="A93">
        <f t="shared" si="1"/>
        <v>92</v>
      </c>
      <c r="B93">
        <v>60</v>
      </c>
      <c r="C93">
        <v>61</v>
      </c>
      <c r="D93">
        <v>2.64E-3</v>
      </c>
      <c r="E93">
        <v>1.35E-2</v>
      </c>
      <c r="F93">
        <v>1.456E-2</v>
      </c>
    </row>
    <row r="94" spans="1:6" x14ac:dyDescent="0.25">
      <c r="A94">
        <f t="shared" si="1"/>
        <v>93</v>
      </c>
      <c r="B94">
        <v>60</v>
      </c>
      <c r="C94">
        <v>62</v>
      </c>
      <c r="D94">
        <v>1.23E-2</v>
      </c>
      <c r="E94">
        <v>5.6099999999999997E-2</v>
      </c>
      <c r="F94">
        <v>1.468E-2</v>
      </c>
    </row>
    <row r="95" spans="1:6" x14ac:dyDescent="0.25">
      <c r="A95">
        <f t="shared" si="1"/>
        <v>94</v>
      </c>
      <c r="B95">
        <v>61</v>
      </c>
      <c r="C95">
        <v>62</v>
      </c>
      <c r="D95">
        <v>8.2400000000000008E-3</v>
      </c>
      <c r="E95">
        <v>3.7600000000000001E-2</v>
      </c>
      <c r="F95">
        <v>9.7999999999999997E-3</v>
      </c>
    </row>
    <row r="96" spans="1:6" x14ac:dyDescent="0.25">
      <c r="A96">
        <f t="shared" si="1"/>
        <v>95</v>
      </c>
      <c r="B96">
        <v>62</v>
      </c>
      <c r="C96">
        <v>66</v>
      </c>
      <c r="D96">
        <v>4.82E-2</v>
      </c>
      <c r="E96">
        <v>0.218</v>
      </c>
      <c r="F96">
        <v>5.7799999999999997E-2</v>
      </c>
    </row>
    <row r="97" spans="1:6" x14ac:dyDescent="0.25">
      <c r="A97">
        <f t="shared" si="1"/>
        <v>96</v>
      </c>
      <c r="B97">
        <v>62</v>
      </c>
      <c r="C97">
        <v>67</v>
      </c>
      <c r="D97">
        <v>2.58E-2</v>
      </c>
      <c r="E97">
        <v>0.11700000000000001</v>
      </c>
      <c r="F97">
        <v>3.1E-2</v>
      </c>
    </row>
    <row r="98" spans="1:6" x14ac:dyDescent="0.25">
      <c r="A98">
        <f t="shared" si="1"/>
        <v>97</v>
      </c>
      <c r="B98">
        <v>63</v>
      </c>
      <c r="C98">
        <v>64</v>
      </c>
      <c r="D98">
        <v>1.72E-3</v>
      </c>
      <c r="E98">
        <v>0.02</v>
      </c>
      <c r="F98">
        <v>0.216</v>
      </c>
    </row>
    <row r="99" spans="1:6" x14ac:dyDescent="0.25">
      <c r="A99">
        <f t="shared" si="1"/>
        <v>98</v>
      </c>
      <c r="B99">
        <v>64</v>
      </c>
      <c r="C99">
        <v>65</v>
      </c>
      <c r="D99">
        <v>2.6900000000000001E-3</v>
      </c>
      <c r="E99">
        <v>3.0200000000000001E-2</v>
      </c>
      <c r="F99">
        <v>0.38</v>
      </c>
    </row>
    <row r="100" spans="1:6" x14ac:dyDescent="0.25">
      <c r="A100">
        <f t="shared" si="1"/>
        <v>99</v>
      </c>
      <c r="B100">
        <v>65</v>
      </c>
      <c r="C100">
        <v>68</v>
      </c>
      <c r="D100">
        <v>1.3799999999999999E-3</v>
      </c>
      <c r="E100">
        <v>1.6E-2</v>
      </c>
      <c r="F100">
        <v>0.63800000000000001</v>
      </c>
    </row>
    <row r="101" spans="1:6" x14ac:dyDescent="0.25">
      <c r="A101">
        <f t="shared" si="1"/>
        <v>100</v>
      </c>
      <c r="B101">
        <v>66</v>
      </c>
      <c r="C101">
        <v>67</v>
      </c>
      <c r="D101">
        <v>2.24E-2</v>
      </c>
      <c r="E101">
        <v>0.10150000000000001</v>
      </c>
      <c r="F101">
        <v>2.682E-2</v>
      </c>
    </row>
    <row r="102" spans="1:6" x14ac:dyDescent="0.25">
      <c r="A102">
        <f t="shared" si="1"/>
        <v>101</v>
      </c>
      <c r="B102">
        <v>68</v>
      </c>
      <c r="C102">
        <v>81</v>
      </c>
      <c r="D102">
        <v>1.75E-3</v>
      </c>
      <c r="E102">
        <v>2.0199999999999999E-2</v>
      </c>
      <c r="F102">
        <v>0.80800000000000005</v>
      </c>
    </row>
    <row r="103" spans="1:6" x14ac:dyDescent="0.25">
      <c r="A103">
        <f t="shared" si="1"/>
        <v>102</v>
      </c>
      <c r="B103">
        <v>69</v>
      </c>
      <c r="C103">
        <v>70</v>
      </c>
      <c r="D103">
        <v>0.03</v>
      </c>
      <c r="E103">
        <v>0.127</v>
      </c>
      <c r="F103">
        <v>0.122</v>
      </c>
    </row>
    <row r="104" spans="1:6" x14ac:dyDescent="0.25">
      <c r="A104">
        <f t="shared" si="1"/>
        <v>103</v>
      </c>
      <c r="B104">
        <v>69</v>
      </c>
      <c r="C104">
        <v>75</v>
      </c>
      <c r="D104">
        <v>4.0500000000000001E-2</v>
      </c>
      <c r="E104">
        <v>0.122</v>
      </c>
      <c r="F104">
        <v>0.124</v>
      </c>
    </row>
    <row r="105" spans="1:6" x14ac:dyDescent="0.25">
      <c r="A105">
        <f t="shared" si="1"/>
        <v>104</v>
      </c>
      <c r="B105">
        <v>69</v>
      </c>
      <c r="C105">
        <v>77</v>
      </c>
      <c r="D105">
        <v>3.09E-2</v>
      </c>
      <c r="E105">
        <v>0.10100000000000001</v>
      </c>
      <c r="F105">
        <v>0.1038</v>
      </c>
    </row>
    <row r="106" spans="1:6" x14ac:dyDescent="0.25">
      <c r="A106">
        <f t="shared" si="1"/>
        <v>105</v>
      </c>
      <c r="B106">
        <v>70</v>
      </c>
      <c r="C106">
        <v>71</v>
      </c>
      <c r="D106">
        <v>8.8199999999999997E-3</v>
      </c>
      <c r="E106">
        <v>3.5499999999999997E-2</v>
      </c>
      <c r="F106">
        <v>8.7799999999999996E-3</v>
      </c>
    </row>
    <row r="107" spans="1:6" x14ac:dyDescent="0.25">
      <c r="A107">
        <f t="shared" si="1"/>
        <v>106</v>
      </c>
      <c r="B107">
        <v>70</v>
      </c>
      <c r="C107">
        <v>74</v>
      </c>
      <c r="D107">
        <v>4.0099999999999997E-2</v>
      </c>
      <c r="E107">
        <v>0.1323</v>
      </c>
      <c r="F107">
        <v>3.3680000000000002E-2</v>
      </c>
    </row>
    <row r="108" spans="1:6" x14ac:dyDescent="0.25">
      <c r="A108">
        <f t="shared" si="1"/>
        <v>107</v>
      </c>
      <c r="B108">
        <v>70</v>
      </c>
      <c r="C108">
        <v>75</v>
      </c>
      <c r="D108">
        <v>4.2799999999999998E-2</v>
      </c>
      <c r="E108">
        <v>0.14099999999999999</v>
      </c>
      <c r="F108">
        <v>3.5999999999999997E-2</v>
      </c>
    </row>
    <row r="109" spans="1:6" x14ac:dyDescent="0.25">
      <c r="A109">
        <f t="shared" si="1"/>
        <v>108</v>
      </c>
      <c r="B109">
        <v>71</v>
      </c>
      <c r="C109">
        <v>72</v>
      </c>
      <c r="D109">
        <v>4.4600000000000001E-2</v>
      </c>
      <c r="E109">
        <v>0.18</v>
      </c>
      <c r="F109">
        <v>4.444E-2</v>
      </c>
    </row>
    <row r="110" spans="1:6" x14ac:dyDescent="0.25">
      <c r="A110">
        <f t="shared" si="1"/>
        <v>109</v>
      </c>
      <c r="B110">
        <v>71</v>
      </c>
      <c r="C110">
        <v>73</v>
      </c>
      <c r="D110">
        <v>8.6599999999999993E-3</v>
      </c>
      <c r="E110">
        <v>4.5400000000000003E-2</v>
      </c>
      <c r="F110">
        <v>1.1780000000000001E-2</v>
      </c>
    </row>
    <row r="111" spans="1:6" x14ac:dyDescent="0.25">
      <c r="A111">
        <f t="shared" si="1"/>
        <v>110</v>
      </c>
      <c r="B111">
        <v>74</v>
      </c>
      <c r="C111">
        <v>75</v>
      </c>
      <c r="D111">
        <v>1.23E-2</v>
      </c>
      <c r="E111">
        <v>4.0599999999999997E-2</v>
      </c>
      <c r="F111">
        <v>1.034E-2</v>
      </c>
    </row>
    <row r="112" spans="1:6" x14ac:dyDescent="0.25">
      <c r="A112">
        <f t="shared" si="1"/>
        <v>111</v>
      </c>
      <c r="B112">
        <v>75</v>
      </c>
      <c r="C112">
        <v>77</v>
      </c>
      <c r="D112">
        <v>6.0100000000000001E-2</v>
      </c>
      <c r="E112">
        <v>0.19989999999999999</v>
      </c>
      <c r="F112">
        <v>4.9779999999999998E-2</v>
      </c>
    </row>
    <row r="113" spans="1:6" x14ac:dyDescent="0.25">
      <c r="A113">
        <f t="shared" si="1"/>
        <v>112</v>
      </c>
      <c r="B113">
        <v>75</v>
      </c>
      <c r="C113">
        <v>118</v>
      </c>
      <c r="D113">
        <v>1.4500000000000001E-2</v>
      </c>
      <c r="E113">
        <v>4.8099999999999997E-2</v>
      </c>
      <c r="F113">
        <v>1.1979999999999999E-2</v>
      </c>
    </row>
    <row r="114" spans="1:6" x14ac:dyDescent="0.25">
      <c r="A114">
        <f t="shared" si="1"/>
        <v>113</v>
      </c>
      <c r="B114">
        <v>76</v>
      </c>
      <c r="C114">
        <v>77</v>
      </c>
      <c r="D114">
        <v>4.4400000000000002E-2</v>
      </c>
      <c r="E114">
        <v>0.14799999999999999</v>
      </c>
      <c r="F114">
        <v>3.6799999999999999E-2</v>
      </c>
    </row>
    <row r="115" spans="1:6" x14ac:dyDescent="0.25">
      <c r="A115">
        <f t="shared" si="1"/>
        <v>114</v>
      </c>
      <c r="B115">
        <v>76</v>
      </c>
      <c r="C115">
        <v>118</v>
      </c>
      <c r="D115">
        <v>1.6400000000000001E-2</v>
      </c>
      <c r="E115">
        <v>5.4399999999999997E-2</v>
      </c>
      <c r="F115">
        <v>1.3559999999999999E-2</v>
      </c>
    </row>
    <row r="116" spans="1:6" x14ac:dyDescent="0.25">
      <c r="A116">
        <f t="shared" si="1"/>
        <v>115</v>
      </c>
      <c r="B116">
        <v>77</v>
      </c>
      <c r="C116">
        <v>78</v>
      </c>
      <c r="D116">
        <v>3.7599999999999999E-3</v>
      </c>
      <c r="E116">
        <v>1.24E-2</v>
      </c>
      <c r="F116">
        <v>1.264E-2</v>
      </c>
    </row>
    <row r="117" spans="1:6" x14ac:dyDescent="0.25">
      <c r="A117">
        <f t="shared" si="1"/>
        <v>116</v>
      </c>
      <c r="B117" s="27">
        <v>77</v>
      </c>
      <c r="C117" s="27">
        <v>80</v>
      </c>
      <c r="D117" s="27">
        <v>1.08796261046E-2</v>
      </c>
      <c r="E117" s="27">
        <v>3.3208564503300002E-2</v>
      </c>
      <c r="F117" s="27">
        <f>0.0472+0.0228</f>
        <v>7.0000000000000007E-2</v>
      </c>
    </row>
    <row r="118" spans="1:6" x14ac:dyDescent="0.25">
      <c r="A118">
        <f t="shared" si="1"/>
        <v>117</v>
      </c>
      <c r="B118">
        <v>77</v>
      </c>
      <c r="C118">
        <v>82</v>
      </c>
      <c r="D118">
        <v>2.98E-2</v>
      </c>
      <c r="E118">
        <v>8.5300000000000001E-2</v>
      </c>
      <c r="F118">
        <v>8.1739999999999993E-2</v>
      </c>
    </row>
    <row r="119" spans="1:6" x14ac:dyDescent="0.25">
      <c r="A119">
        <f t="shared" si="1"/>
        <v>118</v>
      </c>
      <c r="B119">
        <v>78</v>
      </c>
      <c r="C119">
        <v>79</v>
      </c>
      <c r="D119">
        <v>5.4599999999999996E-3</v>
      </c>
      <c r="E119">
        <v>2.4400000000000002E-2</v>
      </c>
      <c r="F119">
        <v>6.4799999999999996E-3</v>
      </c>
    </row>
    <row r="120" spans="1:6" x14ac:dyDescent="0.25">
      <c r="A120">
        <f t="shared" si="1"/>
        <v>119</v>
      </c>
      <c r="B120">
        <v>79</v>
      </c>
      <c r="C120">
        <v>80</v>
      </c>
      <c r="D120">
        <v>1.5599999999999999E-2</v>
      </c>
      <c r="E120">
        <v>7.0400000000000004E-2</v>
      </c>
      <c r="F120">
        <v>1.8700000000000001E-2</v>
      </c>
    </row>
    <row r="121" spans="1:6" x14ac:dyDescent="0.25">
      <c r="A121">
        <f t="shared" si="1"/>
        <v>120</v>
      </c>
      <c r="B121">
        <v>80</v>
      </c>
      <c r="C121">
        <v>96</v>
      </c>
      <c r="D121">
        <v>3.56E-2</v>
      </c>
      <c r="E121">
        <v>0.182</v>
      </c>
      <c r="F121">
        <v>4.9399999999999999E-2</v>
      </c>
    </row>
    <row r="122" spans="1:6" x14ac:dyDescent="0.25">
      <c r="A122">
        <f t="shared" si="1"/>
        <v>121</v>
      </c>
      <c r="B122">
        <v>80</v>
      </c>
      <c r="C122">
        <v>97</v>
      </c>
      <c r="D122">
        <v>1.83E-2</v>
      </c>
      <c r="E122">
        <v>9.3399999999999997E-2</v>
      </c>
      <c r="F122">
        <v>2.5399999999999999E-2</v>
      </c>
    </row>
    <row r="123" spans="1:6" x14ac:dyDescent="0.25">
      <c r="A123">
        <f t="shared" si="1"/>
        <v>122</v>
      </c>
      <c r="B123">
        <v>80</v>
      </c>
      <c r="C123">
        <v>98</v>
      </c>
      <c r="D123">
        <v>2.3800000000000002E-2</v>
      </c>
      <c r="E123">
        <v>0.108</v>
      </c>
      <c r="F123">
        <v>2.86E-2</v>
      </c>
    </row>
    <row r="124" spans="1:6" x14ac:dyDescent="0.25">
      <c r="A124">
        <f t="shared" si="1"/>
        <v>123</v>
      </c>
      <c r="B124">
        <v>80</v>
      </c>
      <c r="C124">
        <v>99</v>
      </c>
      <c r="D124">
        <v>4.5400000000000003E-2</v>
      </c>
      <c r="E124">
        <v>0.20599999999999999</v>
      </c>
      <c r="F124">
        <v>5.4600000000000003E-2</v>
      </c>
    </row>
    <row r="125" spans="1:6" x14ac:dyDescent="0.25">
      <c r="A125">
        <f t="shared" si="1"/>
        <v>124</v>
      </c>
      <c r="B125">
        <v>82</v>
      </c>
      <c r="C125">
        <v>83</v>
      </c>
      <c r="D125">
        <v>1.12E-2</v>
      </c>
      <c r="E125">
        <v>3.6650000000000002E-2</v>
      </c>
      <c r="F125">
        <v>3.7960000000000001E-2</v>
      </c>
    </row>
    <row r="126" spans="1:6" x14ac:dyDescent="0.25">
      <c r="A126">
        <f t="shared" si="1"/>
        <v>125</v>
      </c>
      <c r="B126">
        <v>82</v>
      </c>
      <c r="C126">
        <v>96</v>
      </c>
      <c r="D126">
        <v>1.6199999999999999E-2</v>
      </c>
      <c r="E126">
        <v>5.2999999999999999E-2</v>
      </c>
      <c r="F126">
        <v>5.4399999999999997E-2</v>
      </c>
    </row>
    <row r="127" spans="1:6" x14ac:dyDescent="0.25">
      <c r="A127">
        <f t="shared" si="1"/>
        <v>126</v>
      </c>
      <c r="B127">
        <v>83</v>
      </c>
      <c r="C127">
        <v>84</v>
      </c>
      <c r="D127">
        <v>6.25E-2</v>
      </c>
      <c r="E127">
        <v>0.13200000000000001</v>
      </c>
      <c r="F127">
        <v>2.58E-2</v>
      </c>
    </row>
    <row r="128" spans="1:6" x14ac:dyDescent="0.25">
      <c r="A128">
        <f t="shared" si="1"/>
        <v>127</v>
      </c>
      <c r="B128">
        <v>83</v>
      </c>
      <c r="C128">
        <v>85</v>
      </c>
      <c r="D128">
        <v>4.2999999999999997E-2</v>
      </c>
      <c r="E128">
        <v>0.14799999999999999</v>
      </c>
      <c r="F128">
        <v>3.4799999999999998E-2</v>
      </c>
    </row>
    <row r="129" spans="1:6" x14ac:dyDescent="0.25">
      <c r="A129">
        <f t="shared" si="1"/>
        <v>128</v>
      </c>
      <c r="B129">
        <v>84</v>
      </c>
      <c r="C129">
        <v>85</v>
      </c>
      <c r="D129">
        <v>3.0200000000000001E-2</v>
      </c>
      <c r="E129">
        <v>6.4100000000000004E-2</v>
      </c>
      <c r="F129">
        <v>1.234E-2</v>
      </c>
    </row>
    <row r="130" spans="1:6" x14ac:dyDescent="0.25">
      <c r="A130">
        <f t="shared" si="1"/>
        <v>129</v>
      </c>
      <c r="B130">
        <v>85</v>
      </c>
      <c r="C130">
        <v>86</v>
      </c>
      <c r="D130">
        <v>3.5000000000000003E-2</v>
      </c>
      <c r="E130">
        <v>0.123</v>
      </c>
      <c r="F130">
        <v>2.76E-2</v>
      </c>
    </row>
    <row r="131" spans="1:6" x14ac:dyDescent="0.25">
      <c r="A131">
        <f t="shared" si="1"/>
        <v>130</v>
      </c>
      <c r="B131">
        <v>85</v>
      </c>
      <c r="C131">
        <v>88</v>
      </c>
      <c r="D131">
        <v>0.02</v>
      </c>
      <c r="E131">
        <v>0.10199999999999999</v>
      </c>
      <c r="F131">
        <v>2.76E-2</v>
      </c>
    </row>
    <row r="132" spans="1:6" x14ac:dyDescent="0.25">
      <c r="A132">
        <f t="shared" ref="A132:A166" si="2">A131+1</f>
        <v>131</v>
      </c>
      <c r="B132">
        <v>85</v>
      </c>
      <c r="C132">
        <v>89</v>
      </c>
      <c r="D132">
        <v>2.3900000000000001E-2</v>
      </c>
      <c r="E132">
        <v>0.17299999999999999</v>
      </c>
      <c r="F132">
        <v>4.7E-2</v>
      </c>
    </row>
    <row r="133" spans="1:6" x14ac:dyDescent="0.25">
      <c r="A133">
        <f t="shared" si="2"/>
        <v>132</v>
      </c>
      <c r="B133">
        <v>88</v>
      </c>
      <c r="C133">
        <v>89</v>
      </c>
      <c r="D133">
        <v>1.3899999999999999E-2</v>
      </c>
      <c r="E133">
        <v>7.1199999999999999E-2</v>
      </c>
      <c r="F133">
        <v>1.934E-2</v>
      </c>
    </row>
    <row r="134" spans="1:6" x14ac:dyDescent="0.25">
      <c r="A134">
        <f t="shared" si="2"/>
        <v>133</v>
      </c>
      <c r="B134" s="27">
        <v>89</v>
      </c>
      <c r="C134" s="27">
        <v>90</v>
      </c>
      <c r="D134" s="27">
        <v>1.6378590058499998E-2</v>
      </c>
      <c r="E134" s="27">
        <v>6.5168513758899996E-2</v>
      </c>
      <c r="F134" s="27">
        <f>0.0528+0.106</f>
        <v>0.1588</v>
      </c>
    </row>
    <row r="135" spans="1:6" x14ac:dyDescent="0.25">
      <c r="A135">
        <f t="shared" si="2"/>
        <v>134</v>
      </c>
      <c r="B135" s="28">
        <v>89</v>
      </c>
      <c r="C135" s="28">
        <v>92</v>
      </c>
      <c r="D135" s="28">
        <v>7.9857799567000006E-3</v>
      </c>
      <c r="E135" s="28">
        <v>3.8292810996499997E-2</v>
      </c>
      <c r="F135" s="28">
        <f>0.0548+0.0414</f>
        <v>9.6200000000000008E-2</v>
      </c>
    </row>
    <row r="136" spans="1:6" x14ac:dyDescent="0.25">
      <c r="A136">
        <f t="shared" si="2"/>
        <v>135</v>
      </c>
      <c r="B136">
        <v>90</v>
      </c>
      <c r="C136">
        <v>91</v>
      </c>
      <c r="D136">
        <v>2.5399999999999999E-2</v>
      </c>
      <c r="E136">
        <v>8.3599999999999994E-2</v>
      </c>
      <c r="F136">
        <v>2.1399999999999999E-2</v>
      </c>
    </row>
    <row r="137" spans="1:6" x14ac:dyDescent="0.25">
      <c r="A137">
        <f t="shared" si="2"/>
        <v>136</v>
      </c>
      <c r="B137">
        <v>91</v>
      </c>
      <c r="C137">
        <v>92</v>
      </c>
      <c r="D137">
        <v>3.8699999999999998E-2</v>
      </c>
      <c r="E137">
        <v>0.12720000000000001</v>
      </c>
      <c r="F137">
        <v>3.2680000000000001E-2</v>
      </c>
    </row>
    <row r="138" spans="1:6" x14ac:dyDescent="0.25">
      <c r="A138">
        <f t="shared" si="2"/>
        <v>137</v>
      </c>
      <c r="B138">
        <v>92</v>
      </c>
      <c r="C138">
        <v>93</v>
      </c>
      <c r="D138">
        <v>2.58E-2</v>
      </c>
      <c r="E138">
        <v>8.48E-2</v>
      </c>
      <c r="F138">
        <v>2.18E-2</v>
      </c>
    </row>
    <row r="139" spans="1:6" x14ac:dyDescent="0.25">
      <c r="A139">
        <f t="shared" si="2"/>
        <v>138</v>
      </c>
      <c r="B139">
        <v>92</v>
      </c>
      <c r="C139">
        <v>94</v>
      </c>
      <c r="D139">
        <v>4.8099999999999997E-2</v>
      </c>
      <c r="E139">
        <v>0.158</v>
      </c>
      <c r="F139">
        <v>4.0599999999999997E-2</v>
      </c>
    </row>
    <row r="140" spans="1:6" x14ac:dyDescent="0.25">
      <c r="A140">
        <f t="shared" si="2"/>
        <v>139</v>
      </c>
      <c r="B140">
        <v>92</v>
      </c>
      <c r="C140">
        <v>100</v>
      </c>
      <c r="D140">
        <v>6.4799999999999996E-2</v>
      </c>
      <c r="E140">
        <v>0.29499999999999998</v>
      </c>
      <c r="F140">
        <v>4.7199999999999999E-2</v>
      </c>
    </row>
    <row r="141" spans="1:6" x14ac:dyDescent="0.25">
      <c r="A141">
        <f t="shared" si="2"/>
        <v>140</v>
      </c>
      <c r="B141">
        <v>92</v>
      </c>
      <c r="C141">
        <v>102</v>
      </c>
      <c r="D141">
        <v>1.23E-2</v>
      </c>
      <c r="E141">
        <v>5.5899999999999998E-2</v>
      </c>
      <c r="F141">
        <v>1.464E-2</v>
      </c>
    </row>
    <row r="142" spans="1:6" x14ac:dyDescent="0.25">
      <c r="A142">
        <f t="shared" si="2"/>
        <v>141</v>
      </c>
      <c r="B142">
        <v>93</v>
      </c>
      <c r="C142">
        <v>94</v>
      </c>
      <c r="D142">
        <v>2.23E-2</v>
      </c>
      <c r="E142">
        <v>7.3200000000000001E-2</v>
      </c>
      <c r="F142">
        <v>1.8759999999999999E-2</v>
      </c>
    </row>
    <row r="143" spans="1:6" x14ac:dyDescent="0.25">
      <c r="A143">
        <f t="shared" si="2"/>
        <v>142</v>
      </c>
      <c r="B143">
        <v>94</v>
      </c>
      <c r="C143">
        <v>95</v>
      </c>
      <c r="D143">
        <v>1.32E-2</v>
      </c>
      <c r="E143">
        <v>4.3400000000000001E-2</v>
      </c>
      <c r="F143">
        <v>1.11E-2</v>
      </c>
    </row>
    <row r="144" spans="1:6" x14ac:dyDescent="0.25">
      <c r="A144">
        <f t="shared" si="2"/>
        <v>143</v>
      </c>
      <c r="B144">
        <v>94</v>
      </c>
      <c r="C144">
        <v>96</v>
      </c>
      <c r="D144">
        <v>2.69E-2</v>
      </c>
      <c r="E144">
        <v>8.6900000000000005E-2</v>
      </c>
      <c r="F144">
        <v>2.3E-2</v>
      </c>
    </row>
    <row r="145" spans="1:6" x14ac:dyDescent="0.25">
      <c r="A145">
        <f t="shared" si="2"/>
        <v>144</v>
      </c>
      <c r="B145">
        <v>94</v>
      </c>
      <c r="C145">
        <v>100</v>
      </c>
      <c r="D145">
        <v>1.78E-2</v>
      </c>
      <c r="E145">
        <v>5.8000000000000003E-2</v>
      </c>
      <c r="F145">
        <v>6.0400000000000002E-2</v>
      </c>
    </row>
    <row r="146" spans="1:6" x14ac:dyDescent="0.25">
      <c r="A146">
        <f t="shared" si="2"/>
        <v>145</v>
      </c>
      <c r="B146">
        <v>95</v>
      </c>
      <c r="C146">
        <v>96</v>
      </c>
      <c r="D146">
        <v>1.7100000000000001E-2</v>
      </c>
      <c r="E146">
        <v>5.4699999999999999E-2</v>
      </c>
      <c r="F146">
        <v>1.474E-2</v>
      </c>
    </row>
    <row r="147" spans="1:6" x14ac:dyDescent="0.25">
      <c r="A147">
        <f t="shared" si="2"/>
        <v>146</v>
      </c>
      <c r="B147">
        <v>96</v>
      </c>
      <c r="C147">
        <v>97</v>
      </c>
      <c r="D147">
        <v>1.7299999999999999E-2</v>
      </c>
      <c r="E147">
        <v>8.8499999999999995E-2</v>
      </c>
      <c r="F147">
        <v>2.4E-2</v>
      </c>
    </row>
    <row r="148" spans="1:6" x14ac:dyDescent="0.25">
      <c r="A148">
        <f t="shared" si="2"/>
        <v>147</v>
      </c>
      <c r="B148">
        <v>98</v>
      </c>
      <c r="C148">
        <v>100</v>
      </c>
      <c r="D148">
        <v>3.9699999999999999E-2</v>
      </c>
      <c r="E148">
        <v>0.17899999999999999</v>
      </c>
      <c r="F148">
        <v>4.7600000000000003E-2</v>
      </c>
    </row>
    <row r="149" spans="1:6" x14ac:dyDescent="0.25">
      <c r="A149">
        <f t="shared" si="2"/>
        <v>148</v>
      </c>
      <c r="B149">
        <v>99</v>
      </c>
      <c r="C149">
        <v>100</v>
      </c>
      <c r="D149">
        <v>1.7999999999999999E-2</v>
      </c>
      <c r="E149">
        <v>8.1299999999999997E-2</v>
      </c>
      <c r="F149">
        <v>2.1600000000000001E-2</v>
      </c>
    </row>
    <row r="150" spans="1:6" x14ac:dyDescent="0.25">
      <c r="A150">
        <f t="shared" si="2"/>
        <v>149</v>
      </c>
      <c r="B150">
        <v>100</v>
      </c>
      <c r="C150">
        <v>101</v>
      </c>
      <c r="D150">
        <v>2.7699999999999999E-2</v>
      </c>
      <c r="E150">
        <v>0.12620000000000001</v>
      </c>
      <c r="F150">
        <v>3.2800000000000003E-2</v>
      </c>
    </row>
    <row r="151" spans="1:6" x14ac:dyDescent="0.25">
      <c r="A151">
        <f t="shared" si="2"/>
        <v>150</v>
      </c>
      <c r="B151">
        <v>100</v>
      </c>
      <c r="C151">
        <v>103</v>
      </c>
      <c r="D151">
        <v>1.6E-2</v>
      </c>
      <c r="E151">
        <v>5.2499999999999998E-2</v>
      </c>
      <c r="F151">
        <v>5.3600000000000002E-2</v>
      </c>
    </row>
    <row r="152" spans="1:6" x14ac:dyDescent="0.25">
      <c r="A152">
        <f t="shared" si="2"/>
        <v>151</v>
      </c>
      <c r="B152">
        <v>100</v>
      </c>
      <c r="C152">
        <v>104</v>
      </c>
      <c r="D152">
        <v>4.5100000000000001E-2</v>
      </c>
      <c r="E152">
        <v>0.20399999999999999</v>
      </c>
      <c r="F152">
        <v>5.4100000000000002E-2</v>
      </c>
    </row>
    <row r="153" spans="1:6" x14ac:dyDescent="0.25">
      <c r="A153">
        <f t="shared" si="2"/>
        <v>152</v>
      </c>
      <c r="B153">
        <v>100</v>
      </c>
      <c r="C153">
        <v>106</v>
      </c>
      <c r="D153">
        <v>6.0499999999999998E-2</v>
      </c>
      <c r="E153">
        <v>0.22900000000000001</v>
      </c>
      <c r="F153">
        <v>6.2E-2</v>
      </c>
    </row>
    <row r="154" spans="1:6" x14ac:dyDescent="0.25">
      <c r="A154">
        <f t="shared" si="2"/>
        <v>153</v>
      </c>
      <c r="B154">
        <v>101</v>
      </c>
      <c r="C154">
        <v>102</v>
      </c>
      <c r="D154">
        <v>2.46E-2</v>
      </c>
      <c r="E154">
        <v>0.112</v>
      </c>
      <c r="F154">
        <v>2.9399999999999999E-2</v>
      </c>
    </row>
    <row r="155" spans="1:6" x14ac:dyDescent="0.25">
      <c r="A155">
        <f t="shared" si="2"/>
        <v>154</v>
      </c>
      <c r="B155">
        <v>103</v>
      </c>
      <c r="C155">
        <v>104</v>
      </c>
      <c r="D155">
        <v>4.6600000000000003E-2</v>
      </c>
      <c r="E155">
        <v>0.15840000000000001</v>
      </c>
      <c r="F155">
        <v>4.07E-2</v>
      </c>
    </row>
    <row r="156" spans="1:6" x14ac:dyDescent="0.25">
      <c r="A156">
        <f t="shared" si="2"/>
        <v>155</v>
      </c>
      <c r="B156">
        <v>103</v>
      </c>
      <c r="C156">
        <v>105</v>
      </c>
      <c r="D156">
        <v>5.3499999999999999E-2</v>
      </c>
      <c r="E156">
        <v>0.16250000000000001</v>
      </c>
      <c r="F156">
        <v>4.0800000000000003E-2</v>
      </c>
    </row>
    <row r="157" spans="1:6" x14ac:dyDescent="0.25">
      <c r="A157">
        <f t="shared" si="2"/>
        <v>156</v>
      </c>
      <c r="B157">
        <v>103</v>
      </c>
      <c r="C157">
        <v>110</v>
      </c>
      <c r="D157">
        <v>3.9059999999999997E-2</v>
      </c>
      <c r="E157">
        <v>0.18129999999999999</v>
      </c>
      <c r="F157">
        <v>4.6100000000000002E-2</v>
      </c>
    </row>
    <row r="158" spans="1:6" x14ac:dyDescent="0.25">
      <c r="A158">
        <f t="shared" si="2"/>
        <v>157</v>
      </c>
      <c r="B158">
        <v>104</v>
      </c>
      <c r="C158">
        <v>105</v>
      </c>
      <c r="D158">
        <v>9.9399999999999992E-3</v>
      </c>
      <c r="E158">
        <v>3.78E-2</v>
      </c>
      <c r="F158">
        <v>9.8600000000000007E-3</v>
      </c>
    </row>
    <row r="159" spans="1:6" x14ac:dyDescent="0.25">
      <c r="A159">
        <f t="shared" si="2"/>
        <v>158</v>
      </c>
      <c r="B159">
        <v>105</v>
      </c>
      <c r="C159">
        <v>106</v>
      </c>
      <c r="D159">
        <v>1.4E-2</v>
      </c>
      <c r="E159">
        <v>5.4699999999999999E-2</v>
      </c>
      <c r="F159">
        <v>1.434E-2</v>
      </c>
    </row>
    <row r="160" spans="1:6" x14ac:dyDescent="0.25">
      <c r="A160">
        <f t="shared" si="2"/>
        <v>159</v>
      </c>
      <c r="B160">
        <v>105</v>
      </c>
      <c r="C160">
        <v>107</v>
      </c>
      <c r="D160">
        <v>5.2999999999999999E-2</v>
      </c>
      <c r="E160">
        <v>0.183</v>
      </c>
      <c r="F160">
        <v>4.7199999999999999E-2</v>
      </c>
    </row>
    <row r="161" spans="1:6" x14ac:dyDescent="0.25">
      <c r="A161">
        <f t="shared" si="2"/>
        <v>160</v>
      </c>
      <c r="B161">
        <v>105</v>
      </c>
      <c r="C161">
        <v>108</v>
      </c>
      <c r="D161">
        <v>2.6100000000000002E-2</v>
      </c>
      <c r="E161">
        <v>7.0300000000000001E-2</v>
      </c>
      <c r="F161">
        <v>1.8440000000000002E-2</v>
      </c>
    </row>
    <row r="162" spans="1:6" x14ac:dyDescent="0.25">
      <c r="A162">
        <f t="shared" si="2"/>
        <v>161</v>
      </c>
      <c r="B162">
        <v>106</v>
      </c>
      <c r="C162">
        <v>107</v>
      </c>
      <c r="D162">
        <v>5.2999999999999999E-2</v>
      </c>
      <c r="E162">
        <v>0.183</v>
      </c>
      <c r="F162">
        <v>4.7199999999999999E-2</v>
      </c>
    </row>
    <row r="163" spans="1:6" x14ac:dyDescent="0.25">
      <c r="A163">
        <f t="shared" si="2"/>
        <v>162</v>
      </c>
      <c r="B163">
        <v>108</v>
      </c>
      <c r="C163">
        <v>109</v>
      </c>
      <c r="D163">
        <v>1.0500000000000001E-2</v>
      </c>
      <c r="E163">
        <v>2.8799999999999999E-2</v>
      </c>
      <c r="F163">
        <v>7.6E-3</v>
      </c>
    </row>
    <row r="164" spans="1:6" x14ac:dyDescent="0.25">
      <c r="A164">
        <f t="shared" si="2"/>
        <v>163</v>
      </c>
      <c r="B164">
        <v>109</v>
      </c>
      <c r="C164">
        <v>110</v>
      </c>
      <c r="D164">
        <v>2.7799999999999998E-2</v>
      </c>
      <c r="E164">
        <v>7.6200000000000004E-2</v>
      </c>
      <c r="F164">
        <v>2.0199999999999999E-2</v>
      </c>
    </row>
    <row r="165" spans="1:6" x14ac:dyDescent="0.25">
      <c r="A165">
        <f t="shared" si="2"/>
        <v>164</v>
      </c>
      <c r="B165">
        <v>110</v>
      </c>
      <c r="C165">
        <v>112</v>
      </c>
      <c r="D165">
        <v>2.47E-2</v>
      </c>
      <c r="E165">
        <v>6.4000000000000001E-2</v>
      </c>
      <c r="F165">
        <v>6.2E-2</v>
      </c>
    </row>
    <row r="166" spans="1:6" x14ac:dyDescent="0.25">
      <c r="A166">
        <f t="shared" si="2"/>
        <v>165</v>
      </c>
      <c r="B166">
        <v>114</v>
      </c>
      <c r="C166">
        <v>115</v>
      </c>
      <c r="D166">
        <v>2.3E-3</v>
      </c>
      <c r="E166">
        <v>1.04E-2</v>
      </c>
      <c r="F166">
        <v>2.7599999999999999E-3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K1"/>
  <sheetViews>
    <sheetView zoomScale="83" zoomScaleNormal="83" workbookViewId="0">
      <selection activeCell="I14" sqref="I14"/>
    </sheetView>
  </sheetViews>
  <sheetFormatPr defaultColWidth="9.109375" defaultRowHeight="13.2" x14ac:dyDescent="0.25"/>
  <cols>
    <col min="1" max="1" width="8" style="5" bestFit="1" customWidth="1"/>
    <col min="2" max="2" width="9.33203125" style="5" bestFit="1" customWidth="1"/>
    <col min="3" max="3" width="6.88671875" style="5" bestFit="1" customWidth="1"/>
    <col min="4" max="5" width="12" style="5" bestFit="1" customWidth="1"/>
    <col min="6" max="6" width="12.44140625" style="5" bestFit="1" customWidth="1"/>
    <col min="7" max="7" width="10.44140625" style="5" bestFit="1" customWidth="1"/>
    <col min="8" max="9" width="11.44140625" style="5" bestFit="1" customWidth="1"/>
    <col min="10" max="11" width="12.44140625" style="5" bestFit="1" customWidth="1"/>
  </cols>
  <sheetData>
    <row r="1" spans="1:11" x14ac:dyDescent="0.25">
      <c r="A1" s="2" t="s">
        <v>28</v>
      </c>
      <c r="B1" s="2" t="s">
        <v>1</v>
      </c>
      <c r="C1" s="2" t="s">
        <v>2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H18"/>
  <sheetViews>
    <sheetView workbookViewId="0">
      <selection activeCell="G15" sqref="G15"/>
    </sheetView>
  </sheetViews>
  <sheetFormatPr defaultColWidth="9.109375" defaultRowHeight="13.2" x14ac:dyDescent="0.25"/>
  <cols>
    <col min="1" max="1" width="8" style="5" bestFit="1" customWidth="1"/>
    <col min="2" max="2" width="9.33203125" style="5" bestFit="1" customWidth="1"/>
    <col min="3" max="3" width="6.88671875" style="5" bestFit="1" customWidth="1"/>
    <col min="4" max="4" width="7.44140625" style="5" bestFit="1" customWidth="1"/>
    <col min="5" max="5" width="9" style="5" bestFit="1" customWidth="1"/>
    <col min="6" max="6" width="2.88671875" style="5" bestFit="1" customWidth="1"/>
    <col min="7" max="7" width="12.33203125" style="5" bestFit="1" customWidth="1"/>
    <col min="8" max="8" width="10" style="5" bestFit="1" customWidth="1"/>
  </cols>
  <sheetData>
    <row r="1" spans="1:8" x14ac:dyDescent="0.25">
      <c r="A1" s="2" t="s">
        <v>28</v>
      </c>
      <c r="B1" s="2" t="s">
        <v>1</v>
      </c>
      <c r="C1" s="2" t="s">
        <v>2</v>
      </c>
      <c r="D1" s="2" t="s">
        <v>13</v>
      </c>
      <c r="E1" s="2" t="s">
        <v>18</v>
      </c>
      <c r="F1" s="2" t="s">
        <v>15</v>
      </c>
      <c r="G1" s="2" t="s">
        <v>16</v>
      </c>
      <c r="H1" s="2" t="s">
        <v>17</v>
      </c>
    </row>
    <row r="2" spans="1:8" x14ac:dyDescent="0.25">
      <c r="A2">
        <v>1</v>
      </c>
      <c r="B2">
        <v>61</v>
      </c>
      <c r="C2">
        <v>64</v>
      </c>
      <c r="D2" s="5">
        <v>0</v>
      </c>
      <c r="E2">
        <v>1E-4</v>
      </c>
      <c r="F2" s="11">
        <v>0</v>
      </c>
      <c r="G2" s="5">
        <v>1</v>
      </c>
      <c r="H2" s="5">
        <v>0</v>
      </c>
    </row>
    <row r="3" spans="1:8" x14ac:dyDescent="0.25">
      <c r="A3">
        <v>2</v>
      </c>
      <c r="B3">
        <v>65</v>
      </c>
      <c r="C3">
        <v>66</v>
      </c>
      <c r="D3" s="5">
        <v>0</v>
      </c>
      <c r="E3">
        <v>1E-4</v>
      </c>
      <c r="F3" s="11">
        <v>0</v>
      </c>
      <c r="G3" s="5">
        <v>1</v>
      </c>
      <c r="H3" s="5">
        <v>0</v>
      </c>
    </row>
    <row r="4" spans="1:8" x14ac:dyDescent="0.25">
      <c r="A4">
        <v>3</v>
      </c>
      <c r="B4">
        <v>68</v>
      </c>
      <c r="C4">
        <v>69</v>
      </c>
      <c r="D4" s="5">
        <v>0</v>
      </c>
      <c r="E4">
        <v>1E-4</v>
      </c>
      <c r="F4" s="11">
        <v>0</v>
      </c>
      <c r="G4" s="5">
        <v>1</v>
      </c>
      <c r="H4" s="5">
        <v>0</v>
      </c>
    </row>
    <row r="5" spans="1:8" x14ac:dyDescent="0.25">
      <c r="A5">
        <v>4</v>
      </c>
      <c r="B5">
        <v>80</v>
      </c>
      <c r="C5">
        <v>81</v>
      </c>
      <c r="D5" s="5">
        <v>0</v>
      </c>
      <c r="E5">
        <v>1E-4</v>
      </c>
      <c r="F5" s="11">
        <v>0</v>
      </c>
      <c r="G5" s="5">
        <v>1</v>
      </c>
      <c r="H5" s="5">
        <v>0</v>
      </c>
    </row>
    <row r="6" spans="1:8" x14ac:dyDescent="0.25">
      <c r="A6">
        <v>5</v>
      </c>
      <c r="B6">
        <v>37</v>
      </c>
      <c r="C6">
        <v>38</v>
      </c>
      <c r="D6" s="5">
        <v>0</v>
      </c>
      <c r="E6">
        <v>1E-4</v>
      </c>
      <c r="F6" s="11">
        <v>0</v>
      </c>
      <c r="G6" s="5">
        <v>1</v>
      </c>
      <c r="H6" s="5">
        <v>0</v>
      </c>
    </row>
    <row r="7" spans="1:8" x14ac:dyDescent="0.25">
      <c r="A7">
        <v>6</v>
      </c>
      <c r="B7">
        <v>17</v>
      </c>
      <c r="C7">
        <v>30</v>
      </c>
      <c r="D7" s="5">
        <v>0</v>
      </c>
      <c r="E7">
        <v>1E-4</v>
      </c>
      <c r="F7" s="11">
        <v>0</v>
      </c>
      <c r="G7" s="5">
        <v>1</v>
      </c>
      <c r="H7" s="5">
        <v>0</v>
      </c>
    </row>
    <row r="8" spans="1:8" x14ac:dyDescent="0.25">
      <c r="A8">
        <v>7</v>
      </c>
      <c r="B8">
        <v>59</v>
      </c>
      <c r="C8">
        <v>63</v>
      </c>
      <c r="D8" s="5">
        <v>0</v>
      </c>
      <c r="E8">
        <v>1E-4</v>
      </c>
      <c r="F8" s="11">
        <v>0</v>
      </c>
      <c r="G8" s="5">
        <v>1</v>
      </c>
      <c r="H8" s="5">
        <v>0</v>
      </c>
    </row>
    <row r="9" spans="1:8" x14ac:dyDescent="0.25">
      <c r="A9">
        <v>8</v>
      </c>
      <c r="B9">
        <v>25</v>
      </c>
      <c r="C9">
        <v>26</v>
      </c>
      <c r="D9" s="5">
        <v>0</v>
      </c>
      <c r="E9">
        <v>1E-4</v>
      </c>
      <c r="F9" s="11">
        <v>0</v>
      </c>
      <c r="G9" s="5">
        <v>1</v>
      </c>
      <c r="H9" s="5">
        <v>0</v>
      </c>
    </row>
    <row r="10" spans="1:8" x14ac:dyDescent="0.25">
      <c r="A10">
        <v>9</v>
      </c>
      <c r="B10">
        <v>5</v>
      </c>
      <c r="C10">
        <v>8</v>
      </c>
      <c r="D10" s="5">
        <v>0</v>
      </c>
      <c r="E10">
        <v>1E-4</v>
      </c>
      <c r="F10" s="11">
        <v>0</v>
      </c>
      <c r="G10" s="5">
        <v>1</v>
      </c>
      <c r="H10" s="5">
        <v>0</v>
      </c>
    </row>
    <row r="11" spans="1:8" x14ac:dyDescent="0.25">
      <c r="A11" s="27"/>
      <c r="B11" s="27"/>
      <c r="C11" s="27"/>
      <c r="D11" s="27"/>
      <c r="E11" s="27"/>
      <c r="F11" s="11"/>
    </row>
    <row r="12" spans="1:8" x14ac:dyDescent="0.25">
      <c r="A12" s="27"/>
      <c r="B12" s="27"/>
      <c r="C12" s="27"/>
      <c r="D12" s="27"/>
      <c r="E12" s="27"/>
      <c r="F12" s="11"/>
    </row>
    <row r="13" spans="1:8" x14ac:dyDescent="0.25">
      <c r="A13" s="28"/>
      <c r="B13" s="28"/>
      <c r="C13" s="28"/>
      <c r="D13" s="28"/>
      <c r="E13" s="28"/>
      <c r="F13" s="11"/>
    </row>
    <row r="14" spans="1:8" x14ac:dyDescent="0.25">
      <c r="A14" s="27"/>
      <c r="B14" s="27"/>
      <c r="C14" s="27"/>
      <c r="D14" s="27"/>
      <c r="E14" s="27"/>
      <c r="F14" s="11"/>
    </row>
    <row r="15" spans="1:8" x14ac:dyDescent="0.25">
      <c r="A15" s="27"/>
      <c r="B15" s="27"/>
      <c r="C15" s="27"/>
      <c r="D15" s="27"/>
      <c r="E15" s="27"/>
      <c r="F15" s="11"/>
    </row>
    <row r="16" spans="1:8" x14ac:dyDescent="0.25">
      <c r="A16" s="27"/>
      <c r="B16" s="27"/>
      <c r="C16" s="27"/>
      <c r="D16" s="27"/>
      <c r="E16" s="27"/>
      <c r="F16" s="11"/>
    </row>
    <row r="17" spans="1:6" x14ac:dyDescent="0.25">
      <c r="A17" s="28"/>
      <c r="B17" s="28"/>
      <c r="C17" s="28"/>
      <c r="D17" s="28"/>
      <c r="E17" s="28"/>
      <c r="F17" s="11"/>
    </row>
    <row r="18" spans="1:6" x14ac:dyDescent="0.25">
      <c r="F18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zoomScale="93" zoomScaleNormal="93" workbookViewId="0">
      <selection activeCell="C2" sqref="C2"/>
    </sheetView>
  </sheetViews>
  <sheetFormatPr defaultColWidth="11.6640625" defaultRowHeight="13.2" x14ac:dyDescent="0.25"/>
  <cols>
    <col min="1" max="1" width="7.5546875" style="5" bestFit="1" customWidth="1"/>
    <col min="2" max="2" width="4.109375" style="5" bestFit="1" customWidth="1"/>
    <col min="3" max="4" width="12.5546875" style="5" bestFit="1" customWidth="1"/>
    <col min="5" max="5" width="11.5546875" style="5" bestFit="1" customWidth="1"/>
    <col min="6" max="6" width="8.109375" style="5" bestFit="1" customWidth="1"/>
  </cols>
  <sheetData>
    <row r="1" spans="1:6" x14ac:dyDescent="0.25">
      <c r="A1" s="2" t="s">
        <v>28</v>
      </c>
      <c r="B1" s="2" t="s">
        <v>0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25">
      <c r="A2">
        <v>1</v>
      </c>
      <c r="B2">
        <v>1</v>
      </c>
      <c r="C2" s="5">
        <v>1.8364123847651228</v>
      </c>
      <c r="D2" s="5">
        <v>11.414222120762471</v>
      </c>
      <c r="E2" s="5">
        <v>0.54454000000000002</v>
      </c>
      <c r="F2" s="5">
        <v>8.7609999999999993E-2</v>
      </c>
    </row>
    <row r="3" spans="1:6" x14ac:dyDescent="0.25">
      <c r="A3">
        <v>2</v>
      </c>
      <c r="B3">
        <v>2</v>
      </c>
      <c r="C3" s="5">
        <v>4.7456340167046323</v>
      </c>
      <c r="D3" s="5">
        <v>10.629251700680273</v>
      </c>
      <c r="E3" s="5">
        <v>0.21071999999999999</v>
      </c>
      <c r="F3" s="5">
        <v>9.4079999999999997E-2</v>
      </c>
    </row>
    <row r="4" spans="1:6" x14ac:dyDescent="0.25">
      <c r="A4">
        <v>3</v>
      </c>
      <c r="B4">
        <v>3</v>
      </c>
      <c r="C4" s="5">
        <v>2.4124288333494164</v>
      </c>
      <c r="D4" s="5">
        <v>9.3931993236896467</v>
      </c>
      <c r="E4" s="5">
        <v>0.41452</v>
      </c>
      <c r="F4" s="5">
        <v>0.10646000000000001</v>
      </c>
    </row>
    <row r="5" spans="1:6" x14ac:dyDescent="0.25">
      <c r="A5">
        <v>4</v>
      </c>
      <c r="B5">
        <v>4</v>
      </c>
      <c r="C5" s="5">
        <v>3.1725888324873104</v>
      </c>
      <c r="D5" s="5">
        <v>8.0147471347278998</v>
      </c>
      <c r="E5" s="5">
        <v>0.31519999999999998</v>
      </c>
      <c r="F5" s="5">
        <v>0.12477000000000001</v>
      </c>
    </row>
    <row r="6" spans="1:6" x14ac:dyDescent="0.25">
      <c r="A6">
        <v>5</v>
      </c>
      <c r="B6">
        <v>6</v>
      </c>
      <c r="C6" s="5">
        <v>1.8253504672897198</v>
      </c>
      <c r="D6" s="5">
        <v>4.348015131092656</v>
      </c>
      <c r="E6" s="5">
        <v>0.54783999999999999</v>
      </c>
      <c r="F6" s="5">
        <v>0.22999</v>
      </c>
    </row>
    <row r="7" spans="1:6" x14ac:dyDescent="0.25">
      <c r="A7">
        <v>6</v>
      </c>
      <c r="B7">
        <v>7</v>
      </c>
      <c r="C7" s="5">
        <v>5.0228539856346375</v>
      </c>
      <c r="D7" s="5">
        <v>48.426150121065376</v>
      </c>
      <c r="E7" s="5">
        <v>0.19908999999999999</v>
      </c>
      <c r="F7" s="5">
        <v>2.0649999999999998E-2</v>
      </c>
    </row>
    <row r="8" spans="1:6" x14ac:dyDescent="0.25">
      <c r="A8">
        <v>7</v>
      </c>
      <c r="B8">
        <v>11</v>
      </c>
      <c r="C8" s="5">
        <v>1.3611553486599426</v>
      </c>
      <c r="D8" s="5">
        <v>4.1895345427123045</v>
      </c>
      <c r="E8" s="5">
        <v>0.73466999999999993</v>
      </c>
      <c r="F8" s="5">
        <v>0.23868999999999999</v>
      </c>
    </row>
    <row r="9" spans="1:6" x14ac:dyDescent="0.25">
      <c r="A9">
        <v>8</v>
      </c>
      <c r="B9">
        <v>12</v>
      </c>
      <c r="C9" s="5">
        <v>2.0542317173377156</v>
      </c>
      <c r="D9" s="5">
        <v>9.8902185738304826</v>
      </c>
      <c r="E9" s="5">
        <v>0.48680000000000001</v>
      </c>
      <c r="F9" s="5">
        <v>0.10111000000000001</v>
      </c>
    </row>
    <row r="10" spans="1:6" x14ac:dyDescent="0.25">
      <c r="A10">
        <v>9</v>
      </c>
      <c r="B10">
        <v>13</v>
      </c>
      <c r="C10" s="10">
        <v>2.7552763542183283</v>
      </c>
      <c r="D10" s="5">
        <v>5.8197055229005414</v>
      </c>
      <c r="E10" s="5">
        <v>0.36293999999999998</v>
      </c>
      <c r="F10" s="5">
        <v>0.17183000000000001</v>
      </c>
    </row>
    <row r="11" spans="1:6" x14ac:dyDescent="0.25">
      <c r="A11">
        <v>10</v>
      </c>
      <c r="B11">
        <v>14</v>
      </c>
      <c r="C11" s="5">
        <v>6.8399452804377567</v>
      </c>
      <c r="D11" s="5">
        <v>97.465886939571163</v>
      </c>
      <c r="E11" s="5">
        <v>0.1462</v>
      </c>
      <c r="F11" s="5">
        <v>1.026E-2</v>
      </c>
    </row>
    <row r="12" spans="1:6" x14ac:dyDescent="0.25">
      <c r="A12">
        <v>11</v>
      </c>
      <c r="B12">
        <v>15</v>
      </c>
      <c r="C12" s="5">
        <v>1.0437650693581888</v>
      </c>
      <c r="D12" s="5">
        <v>3.1222680154864491</v>
      </c>
      <c r="E12" s="5">
        <v>0.95806999999999998</v>
      </c>
      <c r="F12" s="5">
        <v>0.32028000000000001</v>
      </c>
    </row>
    <row r="13" spans="1:6" x14ac:dyDescent="0.25">
      <c r="A13">
        <v>12</v>
      </c>
      <c r="B13">
        <v>16</v>
      </c>
      <c r="C13" s="5">
        <v>3.8265794206558761</v>
      </c>
      <c r="D13" s="5">
        <v>9.7115664756725266</v>
      </c>
      <c r="E13" s="5">
        <v>0.26133000000000001</v>
      </c>
      <c r="F13" s="5">
        <v>0.10297000000000001</v>
      </c>
    </row>
    <row r="14" spans="1:6" x14ac:dyDescent="0.25">
      <c r="A14">
        <v>13</v>
      </c>
      <c r="B14">
        <v>17</v>
      </c>
      <c r="C14" s="5">
        <v>8.7420229041000077</v>
      </c>
      <c r="D14" s="5">
        <v>32.786885245901637</v>
      </c>
      <c r="E14" s="5">
        <v>0.11439000000000001</v>
      </c>
      <c r="F14" s="5">
        <v>3.0499999999999999E-2</v>
      </c>
    </row>
    <row r="15" spans="1:6" x14ac:dyDescent="0.25">
      <c r="A15">
        <v>14</v>
      </c>
      <c r="B15">
        <v>18</v>
      </c>
      <c r="C15">
        <v>1.5611340077432245</v>
      </c>
      <c r="D15">
        <v>2.7392757354955348</v>
      </c>
      <c r="E15">
        <v>0.64056000000000002</v>
      </c>
      <c r="F15">
        <v>0.36506</v>
      </c>
    </row>
    <row r="16" spans="1:6" x14ac:dyDescent="0.25">
      <c r="A16">
        <v>15</v>
      </c>
      <c r="B16">
        <v>19</v>
      </c>
      <c r="C16">
        <v>2.0794776352180335</v>
      </c>
      <c r="D16">
        <v>3.7181632273656806</v>
      </c>
      <c r="E16">
        <v>0.48088999999999998</v>
      </c>
      <c r="F16">
        <v>0.26895000000000002</v>
      </c>
    </row>
    <row r="17" spans="1:6" x14ac:dyDescent="0.25">
      <c r="A17">
        <v>16</v>
      </c>
      <c r="B17">
        <v>20</v>
      </c>
      <c r="C17">
        <v>5.1623560993237314</v>
      </c>
      <c r="D17">
        <v>30.609121518212433</v>
      </c>
      <c r="E17">
        <v>0.19370999999999999</v>
      </c>
      <c r="F17">
        <v>3.2669999999999998E-2</v>
      </c>
    </row>
    <row r="18" spans="1:6" x14ac:dyDescent="0.25">
      <c r="A18">
        <v>17</v>
      </c>
      <c r="B18">
        <v>21</v>
      </c>
      <c r="C18" s="5">
        <v>6.6339392331166254</v>
      </c>
      <c r="D18" s="5">
        <v>11.446886446886447</v>
      </c>
      <c r="E18" s="5">
        <v>0.15073999999999999</v>
      </c>
      <c r="F18" s="5">
        <v>8.7360000000000007E-2</v>
      </c>
    </row>
    <row r="19" spans="1:6" x14ac:dyDescent="0.25">
      <c r="A19">
        <v>18</v>
      </c>
      <c r="B19">
        <v>22</v>
      </c>
      <c r="C19" s="5">
        <v>9.3641726753441326</v>
      </c>
      <c r="D19" s="5">
        <v>18.625442354255917</v>
      </c>
      <c r="E19" s="5">
        <v>0.10679</v>
      </c>
      <c r="F19" s="5">
        <v>5.3689999999999995E-2</v>
      </c>
    </row>
    <row r="20" spans="1:6" x14ac:dyDescent="0.25">
      <c r="A20">
        <v>19</v>
      </c>
      <c r="B20">
        <v>23</v>
      </c>
      <c r="C20" s="5">
        <v>13.691128148959471</v>
      </c>
      <c r="D20" s="5">
        <v>32.541490400260336</v>
      </c>
      <c r="E20" s="5">
        <v>7.3040000000000008E-2</v>
      </c>
      <c r="F20" s="5">
        <v>3.073E-2</v>
      </c>
    </row>
    <row r="21" spans="1:6" x14ac:dyDescent="0.25">
      <c r="A21">
        <v>20</v>
      </c>
      <c r="B21">
        <v>27</v>
      </c>
      <c r="C21" s="5">
        <v>1.5282341254680216</v>
      </c>
      <c r="D21" s="5">
        <v>7.3319158296062774</v>
      </c>
      <c r="E21" s="5">
        <v>0.65434999999999999</v>
      </c>
      <c r="F21" s="5">
        <v>0.13638999999999998</v>
      </c>
    </row>
    <row r="22" spans="1:6" x14ac:dyDescent="0.25">
      <c r="A22">
        <v>21</v>
      </c>
      <c r="B22">
        <v>28</v>
      </c>
      <c r="C22" s="5">
        <v>5.5215062669096131</v>
      </c>
      <c r="D22" s="5">
        <v>13.36898395721925</v>
      </c>
      <c r="E22" s="5">
        <v>0.18110999999999999</v>
      </c>
      <c r="F22" s="5">
        <v>7.4800000000000005E-2</v>
      </c>
    </row>
    <row r="23" spans="1:6" x14ac:dyDescent="0.25">
      <c r="A23">
        <v>22</v>
      </c>
      <c r="B23">
        <v>29</v>
      </c>
      <c r="C23" s="5">
        <v>3.9067078173223422</v>
      </c>
      <c r="D23" s="5">
        <v>23.315458148752622</v>
      </c>
      <c r="E23" s="5">
        <v>0.25597000000000003</v>
      </c>
      <c r="F23" s="5">
        <v>4.2889999999999998E-2</v>
      </c>
    </row>
    <row r="24" spans="1:6" x14ac:dyDescent="0.25">
      <c r="A24">
        <v>23</v>
      </c>
      <c r="B24">
        <v>31</v>
      </c>
      <c r="C24" s="5">
        <v>2.1880401724175655</v>
      </c>
      <c r="D24" s="5">
        <v>3.4811668871405699</v>
      </c>
      <c r="E24" s="5">
        <v>0.45703000000000005</v>
      </c>
      <c r="F24" s="5">
        <v>0.28726000000000002</v>
      </c>
    </row>
    <row r="25" spans="1:6" x14ac:dyDescent="0.25">
      <c r="A25">
        <v>24</v>
      </c>
      <c r="B25">
        <v>32</v>
      </c>
      <c r="C25" s="5">
        <v>1.6159265722965548</v>
      </c>
      <c r="D25" s="5">
        <v>4.1944549305817711</v>
      </c>
      <c r="E25" s="5">
        <v>0.61884000000000006</v>
      </c>
      <c r="F25" s="5">
        <v>0.23841000000000001</v>
      </c>
    </row>
    <row r="26" spans="1:6" x14ac:dyDescent="0.25">
      <c r="A26">
        <v>25</v>
      </c>
      <c r="B26">
        <v>33</v>
      </c>
      <c r="C26" s="5">
        <v>4.0832993058391187</v>
      </c>
      <c r="D26" s="5">
        <v>10.411244143675168</v>
      </c>
      <c r="E26" s="5">
        <v>0.24489999999999998</v>
      </c>
      <c r="F26" s="5">
        <v>9.605000000000001E-2</v>
      </c>
    </row>
    <row r="27" spans="1:6" x14ac:dyDescent="0.25">
      <c r="A27">
        <v>26</v>
      </c>
      <c r="B27">
        <v>34</v>
      </c>
      <c r="C27" s="5">
        <v>1.626677511183408</v>
      </c>
      <c r="D27" s="5">
        <v>3.7606709036892174</v>
      </c>
      <c r="E27" s="5">
        <v>0.61475000000000002</v>
      </c>
      <c r="F27" s="5">
        <v>0.26591000000000004</v>
      </c>
    </row>
    <row r="28" spans="1:6" x14ac:dyDescent="0.25">
      <c r="A28">
        <v>27</v>
      </c>
      <c r="B28">
        <v>35</v>
      </c>
      <c r="C28" s="5">
        <v>2.914347331915017</v>
      </c>
      <c r="D28" s="5">
        <v>10.913456291607552</v>
      </c>
      <c r="E28" s="5">
        <v>0.34313000000000005</v>
      </c>
      <c r="F28" s="5">
        <v>9.1630000000000003E-2</v>
      </c>
    </row>
    <row r="29" spans="1:6" x14ac:dyDescent="0.25">
      <c r="A29">
        <v>28</v>
      </c>
      <c r="B29">
        <v>36</v>
      </c>
      <c r="C29" s="5">
        <v>3.1072305254326817</v>
      </c>
      <c r="D29" s="5">
        <v>5.7934071027171079</v>
      </c>
      <c r="E29" s="5">
        <v>0.32183</v>
      </c>
      <c r="F29" s="5">
        <v>0.17260999999999999</v>
      </c>
    </row>
    <row r="30" spans="1:6" x14ac:dyDescent="0.25">
      <c r="A30">
        <v>29</v>
      </c>
      <c r="B30">
        <v>37</v>
      </c>
      <c r="C30" s="5">
        <v>3.7801466696907839</v>
      </c>
      <c r="D30" s="5">
        <v>9.4696969696969706</v>
      </c>
      <c r="E30" s="5">
        <v>0.26454</v>
      </c>
      <c r="F30" s="5">
        <v>0.1056</v>
      </c>
    </row>
    <row r="31" spans="1:6" x14ac:dyDescent="0.25">
      <c r="A31">
        <v>30</v>
      </c>
      <c r="B31">
        <v>40</v>
      </c>
      <c r="C31" s="5">
        <v>4.9900199600798398</v>
      </c>
      <c r="D31" s="5">
        <v>4.3305040706738263</v>
      </c>
      <c r="E31" s="5">
        <v>0.20039999999999999</v>
      </c>
      <c r="F31" s="5">
        <v>0.23091999999999999</v>
      </c>
    </row>
    <row r="32" spans="1:6" x14ac:dyDescent="0.25">
      <c r="A32">
        <v>31</v>
      </c>
      <c r="B32">
        <v>41</v>
      </c>
      <c r="C32" s="5">
        <v>2.6768028267037849</v>
      </c>
      <c r="D32" s="5">
        <v>9.8087297694948496</v>
      </c>
      <c r="E32" s="5">
        <v>0.37357999999999997</v>
      </c>
      <c r="F32" s="5">
        <v>0.10195</v>
      </c>
    </row>
    <row r="33" spans="1:6" x14ac:dyDescent="0.25">
      <c r="A33">
        <v>32</v>
      </c>
      <c r="B33">
        <v>42</v>
      </c>
      <c r="C33" s="5">
        <v>2.6932399676811203</v>
      </c>
      <c r="D33" s="5">
        <v>4.3174164579915377</v>
      </c>
      <c r="E33" s="5">
        <v>0.37130000000000002</v>
      </c>
      <c r="F33" s="5">
        <v>0.23161999999999999</v>
      </c>
    </row>
    <row r="34" spans="1:6" x14ac:dyDescent="0.25">
      <c r="A34">
        <v>33</v>
      </c>
      <c r="B34">
        <v>43</v>
      </c>
      <c r="C34" s="5">
        <v>5.5321973888028317</v>
      </c>
      <c r="D34" s="5">
        <v>14.164305949008499</v>
      </c>
      <c r="E34" s="5">
        <v>0.18076</v>
      </c>
      <c r="F34" s="5">
        <v>7.0599999999999996E-2</v>
      </c>
    </row>
    <row r="35" spans="1:6" x14ac:dyDescent="0.25">
      <c r="A35">
        <v>34</v>
      </c>
      <c r="B35">
        <v>44</v>
      </c>
      <c r="C35" s="5">
        <v>6.1455260570304819</v>
      </c>
      <c r="D35" s="5">
        <v>12.086052695189752</v>
      </c>
      <c r="E35" s="5">
        <v>0.16271999999999998</v>
      </c>
      <c r="F35" s="5">
        <v>8.2739999999999994E-2</v>
      </c>
    </row>
    <row r="36" spans="1:6" x14ac:dyDescent="0.25">
      <c r="A36">
        <v>35</v>
      </c>
      <c r="B36">
        <v>45</v>
      </c>
      <c r="C36" s="5">
        <v>1.8659501418122111</v>
      </c>
      <c r="D36" s="5">
        <v>4.445629945763315</v>
      </c>
      <c r="E36" s="5">
        <v>0.53591999999999995</v>
      </c>
      <c r="F36" s="5">
        <v>0.22494</v>
      </c>
    </row>
    <row r="37" spans="1:6" x14ac:dyDescent="0.25">
      <c r="A37">
        <v>36</v>
      </c>
      <c r="B37">
        <v>46</v>
      </c>
      <c r="C37" s="5">
        <v>3.6428545408181847</v>
      </c>
      <c r="D37" s="5">
        <v>10.403662089055347</v>
      </c>
      <c r="E37" s="5">
        <v>0.27451000000000003</v>
      </c>
      <c r="F37" s="5">
        <v>9.6119999999999997E-2</v>
      </c>
    </row>
    <row r="38" spans="1:6" x14ac:dyDescent="0.25">
      <c r="A38">
        <f>A37+1</f>
        <v>37</v>
      </c>
      <c r="B38">
        <v>48</v>
      </c>
      <c r="C38" s="5">
        <v>5.1503914297486606</v>
      </c>
      <c r="D38" s="5">
        <v>9.6450617283950617</v>
      </c>
      <c r="E38" s="5">
        <v>0.19416</v>
      </c>
      <c r="F38" s="5">
        <v>0.10368000000000001</v>
      </c>
    </row>
    <row r="39" spans="1:6" x14ac:dyDescent="0.25">
      <c r="A39">
        <f t="shared" ref="A39:A91" si="0">A38+1</f>
        <v>38</v>
      </c>
      <c r="B39">
        <v>49</v>
      </c>
      <c r="C39" s="5">
        <v>1.1954001004136086</v>
      </c>
      <c r="D39" s="5">
        <v>3.6052925694920144</v>
      </c>
      <c r="E39" s="5">
        <v>0.83653999999999995</v>
      </c>
      <c r="F39" s="5">
        <v>0.27737000000000001</v>
      </c>
    </row>
    <row r="40" spans="1:6" x14ac:dyDescent="0.25">
      <c r="A40">
        <f t="shared" si="0"/>
        <v>39</v>
      </c>
      <c r="B40">
        <v>50</v>
      </c>
      <c r="C40" s="5">
        <v>6.0631783180743346</v>
      </c>
      <c r="D40" s="5">
        <v>26.560424966799467</v>
      </c>
      <c r="E40" s="5">
        <v>0.16492999999999999</v>
      </c>
      <c r="F40" s="5">
        <v>3.7650000000000003E-2</v>
      </c>
    </row>
    <row r="41" spans="1:6" x14ac:dyDescent="0.25">
      <c r="A41">
        <f t="shared" si="0"/>
        <v>40</v>
      </c>
      <c r="B41">
        <v>51</v>
      </c>
      <c r="C41" s="5">
        <v>5.9783583427990665</v>
      </c>
      <c r="D41" s="5">
        <v>12.909888974954816</v>
      </c>
      <c r="E41" s="5">
        <v>0.16727</v>
      </c>
      <c r="F41" s="5">
        <v>7.7460000000000001E-2</v>
      </c>
    </row>
    <row r="42" spans="1:6" x14ac:dyDescent="0.25">
      <c r="A42">
        <f t="shared" si="0"/>
        <v>41</v>
      </c>
      <c r="B42">
        <v>52</v>
      </c>
      <c r="C42" s="5">
        <v>5.6220835441614661</v>
      </c>
      <c r="D42" s="5">
        <v>20.47921359819783</v>
      </c>
      <c r="E42" s="5">
        <v>0.17787</v>
      </c>
      <c r="F42" s="5">
        <v>4.8829999999999998E-2</v>
      </c>
    </row>
    <row r="43" spans="1:6" x14ac:dyDescent="0.25">
      <c r="A43">
        <f t="shared" si="0"/>
        <v>42</v>
      </c>
      <c r="B43">
        <v>53</v>
      </c>
      <c r="C43" s="5">
        <v>4.4072278536800349</v>
      </c>
      <c r="D43" s="5">
        <v>9.3405566971791547</v>
      </c>
      <c r="E43" s="5">
        <v>0.22690000000000002</v>
      </c>
      <c r="F43" s="5">
        <v>0.10705999999999999</v>
      </c>
    </row>
    <row r="44" spans="1:6" x14ac:dyDescent="0.25">
      <c r="A44">
        <f t="shared" si="0"/>
        <v>43</v>
      </c>
      <c r="B44">
        <v>54</v>
      </c>
      <c r="C44" s="5">
        <v>0.91150224685303849</v>
      </c>
      <c r="D44" s="5">
        <v>3.3153200941550911</v>
      </c>
      <c r="E44" s="5">
        <v>1.0970900000000001</v>
      </c>
      <c r="F44" s="5">
        <v>0.30163000000000001</v>
      </c>
    </row>
    <row r="45" spans="1:6" x14ac:dyDescent="0.25">
      <c r="A45">
        <f t="shared" si="0"/>
        <v>44</v>
      </c>
      <c r="B45">
        <v>55</v>
      </c>
      <c r="C45" s="5">
        <v>1.6200103680663553</v>
      </c>
      <c r="D45" s="5">
        <v>4.7348484848484853</v>
      </c>
      <c r="E45" s="5">
        <v>0.61728000000000005</v>
      </c>
      <c r="F45" s="5">
        <v>0.2112</v>
      </c>
    </row>
    <row r="46" spans="1:6" x14ac:dyDescent="0.25">
      <c r="A46">
        <f t="shared" si="0"/>
        <v>45</v>
      </c>
      <c r="B46">
        <v>56</v>
      </c>
      <c r="C46" s="5">
        <v>1.2189770344726705</v>
      </c>
      <c r="D46" s="5">
        <v>5.8247903075489287</v>
      </c>
      <c r="E46" s="5">
        <v>0.82035999999999998</v>
      </c>
      <c r="F46" s="5">
        <v>0.17168</v>
      </c>
    </row>
    <row r="47" spans="1:6" x14ac:dyDescent="0.25">
      <c r="A47">
        <f t="shared" si="0"/>
        <v>46</v>
      </c>
      <c r="B47">
        <v>57</v>
      </c>
      <c r="C47" s="5">
        <v>8.5367935803312278</v>
      </c>
      <c r="D47" s="5">
        <v>34.977264777894369</v>
      </c>
      <c r="E47" s="5">
        <v>0.11714000000000001</v>
      </c>
      <c r="F47" s="5">
        <v>2.8590000000000001E-2</v>
      </c>
    </row>
    <row r="48" spans="1:6" x14ac:dyDescent="0.25">
      <c r="A48">
        <f t="shared" si="0"/>
        <v>47</v>
      </c>
      <c r="B48">
        <v>58</v>
      </c>
      <c r="C48" s="5">
        <v>8.4788875699508228</v>
      </c>
      <c r="D48" s="5">
        <v>34.506556245686681</v>
      </c>
      <c r="E48" s="5">
        <v>0.11794</v>
      </c>
      <c r="F48" s="5">
        <v>2.8980000000000002E-2</v>
      </c>
    </row>
    <row r="49" spans="1:6" x14ac:dyDescent="0.25">
      <c r="A49">
        <f t="shared" si="0"/>
        <v>48</v>
      </c>
      <c r="B49">
        <v>59</v>
      </c>
      <c r="C49" s="5">
        <v>0.36823054177759607</v>
      </c>
      <c r="D49" s="5">
        <v>0.92070857732110634</v>
      </c>
      <c r="E49" s="5">
        <v>2.7156900000000004</v>
      </c>
      <c r="F49" s="5">
        <v>1.08612</v>
      </c>
    </row>
    <row r="50" spans="1:6" x14ac:dyDescent="0.25">
      <c r="A50">
        <f t="shared" si="0"/>
        <v>49</v>
      </c>
      <c r="B50">
        <v>60</v>
      </c>
      <c r="C50" s="5">
        <v>1.3143713361899003</v>
      </c>
      <c r="D50" s="5">
        <v>35.038542396636302</v>
      </c>
      <c r="E50" s="5">
        <v>0.76081999999999994</v>
      </c>
      <c r="F50" s="5">
        <v>2.8539999999999999E-2</v>
      </c>
    </row>
    <row r="51" spans="1:6" x14ac:dyDescent="0.25">
      <c r="A51">
        <f t="shared" si="0"/>
        <v>50</v>
      </c>
      <c r="B51">
        <v>62</v>
      </c>
      <c r="C51" s="5">
        <v>1.3290979412272892</v>
      </c>
      <c r="D51" s="5">
        <v>7.4811101967531979</v>
      </c>
      <c r="E51" s="5">
        <v>0.75239</v>
      </c>
      <c r="F51" s="5">
        <v>0.13367000000000001</v>
      </c>
    </row>
    <row r="52" spans="1:6" x14ac:dyDescent="0.25">
      <c r="A52">
        <f t="shared" si="0"/>
        <v>51</v>
      </c>
      <c r="B52">
        <v>66</v>
      </c>
      <c r="C52" s="5">
        <v>2.6666666666666665</v>
      </c>
      <c r="D52" s="5">
        <v>6.0088931618795831</v>
      </c>
      <c r="E52" s="5">
        <v>0.375</v>
      </c>
      <c r="F52" s="5">
        <v>0.16641999999999998</v>
      </c>
    </row>
    <row r="53" spans="1:6" x14ac:dyDescent="0.25">
      <c r="A53">
        <f t="shared" si="0"/>
        <v>52</v>
      </c>
      <c r="B53">
        <v>67</v>
      </c>
      <c r="C53" s="5">
        <v>3.6652860755781989</v>
      </c>
      <c r="D53" s="5">
        <v>15.046644598254588</v>
      </c>
      <c r="E53" s="5">
        <v>0.27283000000000002</v>
      </c>
      <c r="F53" s="5">
        <v>6.6460000000000005E-2</v>
      </c>
    </row>
    <row r="54" spans="1:6" x14ac:dyDescent="0.25">
      <c r="A54">
        <f t="shared" si="0"/>
        <v>53</v>
      </c>
      <c r="B54">
        <v>70</v>
      </c>
      <c r="C54" s="5">
        <v>1.5419011641353786</v>
      </c>
      <c r="D54" s="5">
        <v>5.178127589063795</v>
      </c>
      <c r="E54" s="5">
        <v>0.64855000000000007</v>
      </c>
      <c r="F54" s="5">
        <v>0.19312000000000001</v>
      </c>
    </row>
    <row r="55" spans="1:6" x14ac:dyDescent="0.25">
      <c r="A55">
        <f t="shared" si="0"/>
        <v>54</v>
      </c>
      <c r="B55">
        <v>74</v>
      </c>
      <c r="C55" s="5">
        <v>1.4499057561258519</v>
      </c>
      <c r="D55" s="5">
        <v>3.600230414746544</v>
      </c>
      <c r="E55" s="5">
        <v>0.68969999999999998</v>
      </c>
      <c r="F55" s="5">
        <v>0.27776000000000001</v>
      </c>
    </row>
    <row r="56" spans="1:6" x14ac:dyDescent="0.25">
      <c r="A56">
        <f t="shared" si="0"/>
        <v>55</v>
      </c>
      <c r="B56">
        <v>75</v>
      </c>
      <c r="C56" s="5">
        <v>2.1174776606106809</v>
      </c>
      <c r="D56" s="5">
        <v>9.0041419052764269</v>
      </c>
      <c r="E56" s="5">
        <v>0.47226000000000001</v>
      </c>
      <c r="F56" s="5">
        <v>0.11105999999999999</v>
      </c>
    </row>
    <row r="57" spans="1:6" x14ac:dyDescent="0.25">
      <c r="A57">
        <f t="shared" si="0"/>
        <v>56</v>
      </c>
      <c r="B57">
        <v>76</v>
      </c>
      <c r="C57" s="5">
        <v>1.4650297401037242</v>
      </c>
      <c r="D57" s="5">
        <v>2.7567955009097425</v>
      </c>
      <c r="E57" s="5">
        <v>0.68257999999999996</v>
      </c>
      <c r="F57" s="5">
        <v>0.36274000000000001</v>
      </c>
    </row>
    <row r="58" spans="1:6" x14ac:dyDescent="0.25">
      <c r="A58">
        <f t="shared" si="0"/>
        <v>57</v>
      </c>
      <c r="B58">
        <v>77</v>
      </c>
      <c r="C58" s="5">
        <v>1.653029175964956</v>
      </c>
      <c r="D58" s="5">
        <v>3.6313457767448618</v>
      </c>
      <c r="E58" s="5">
        <v>0.60494999999999999</v>
      </c>
      <c r="F58" s="5">
        <v>0.27538000000000001</v>
      </c>
    </row>
    <row r="59" spans="1:6" x14ac:dyDescent="0.25">
      <c r="A59">
        <f t="shared" si="0"/>
        <v>58</v>
      </c>
      <c r="B59">
        <v>78</v>
      </c>
      <c r="C59" s="5">
        <v>1.4103377758973275</v>
      </c>
      <c r="D59" s="5">
        <v>3.8565368299267262</v>
      </c>
      <c r="E59" s="5">
        <v>0.70904999999999996</v>
      </c>
      <c r="F59" s="5">
        <v>0.25929999999999997</v>
      </c>
    </row>
    <row r="60" spans="1:6" x14ac:dyDescent="0.25">
      <c r="A60">
        <f t="shared" si="0"/>
        <v>59</v>
      </c>
      <c r="B60">
        <v>79</v>
      </c>
      <c r="C60" s="5">
        <v>2.5613441934327135</v>
      </c>
      <c r="D60" s="5">
        <v>3.1182762169072933</v>
      </c>
      <c r="E60" s="5">
        <v>0.39041999999999999</v>
      </c>
      <c r="F60" s="5">
        <v>0.32069000000000003</v>
      </c>
    </row>
    <row r="61" spans="1:6" x14ac:dyDescent="0.25">
      <c r="A61">
        <f t="shared" si="0"/>
        <v>60</v>
      </c>
      <c r="B61">
        <v>80</v>
      </c>
      <c r="C61" s="5">
        <v>0.78461526390534408</v>
      </c>
      <c r="D61" s="5">
        <v>4.0016006402561031</v>
      </c>
      <c r="E61" s="5">
        <v>1.27451</v>
      </c>
      <c r="F61" s="5">
        <v>0.24989999999999998</v>
      </c>
    </row>
    <row r="62" spans="1:6" x14ac:dyDescent="0.25">
      <c r="A62">
        <f t="shared" si="0"/>
        <v>61</v>
      </c>
      <c r="B62">
        <v>82</v>
      </c>
      <c r="C62" s="5">
        <v>1.8470972866140856</v>
      </c>
      <c r="D62" s="5">
        <v>3.6847341464313343</v>
      </c>
      <c r="E62" s="5">
        <v>0.54139000000000004</v>
      </c>
      <c r="F62" s="5">
        <v>0.27139000000000002</v>
      </c>
    </row>
    <row r="63" spans="1:6" x14ac:dyDescent="0.25">
      <c r="A63">
        <f t="shared" si="0"/>
        <v>62</v>
      </c>
      <c r="B63">
        <v>83</v>
      </c>
      <c r="C63" s="5">
        <v>4.9885263893045995</v>
      </c>
      <c r="D63" s="5">
        <v>9.954210631096954</v>
      </c>
      <c r="E63" s="5">
        <v>0.20046</v>
      </c>
      <c r="F63" s="5">
        <v>0.10045999999999999</v>
      </c>
    </row>
    <row r="64" spans="1:6" x14ac:dyDescent="0.25">
      <c r="A64">
        <f t="shared" si="0"/>
        <v>63</v>
      </c>
      <c r="B64">
        <v>84</v>
      </c>
      <c r="C64" s="5">
        <v>9.1575091575091569</v>
      </c>
      <c r="D64" s="5">
        <v>14.496955639315743</v>
      </c>
      <c r="E64" s="5">
        <v>0.10920000000000001</v>
      </c>
      <c r="F64" s="5">
        <v>6.898E-2</v>
      </c>
    </row>
    <row r="65" spans="1:6" x14ac:dyDescent="0.25">
      <c r="A65">
        <f t="shared" si="0"/>
        <v>64</v>
      </c>
      <c r="B65">
        <v>85</v>
      </c>
      <c r="C65" s="5">
        <v>4.2489908646696408</v>
      </c>
      <c r="D65" s="5">
        <v>6.932409012131715</v>
      </c>
      <c r="E65" s="5">
        <v>0.23535</v>
      </c>
      <c r="F65" s="5">
        <v>0.14425000000000002</v>
      </c>
    </row>
    <row r="66" spans="1:6" x14ac:dyDescent="0.25">
      <c r="A66">
        <f t="shared" si="0"/>
        <v>65</v>
      </c>
      <c r="B66">
        <v>86</v>
      </c>
      <c r="C66" s="5">
        <v>4.7693995325988459</v>
      </c>
      <c r="D66" s="5">
        <v>10.031096398836393</v>
      </c>
      <c r="E66" s="5">
        <v>0.20967</v>
      </c>
      <c r="F66" s="5">
        <v>9.9690000000000001E-2</v>
      </c>
    </row>
    <row r="67" spans="1:6" x14ac:dyDescent="0.25">
      <c r="A67">
        <f t="shared" si="0"/>
        <v>66</v>
      </c>
      <c r="B67">
        <v>88</v>
      </c>
      <c r="C67" s="5">
        <v>2.1308785612307952</v>
      </c>
      <c r="D67" s="5">
        <v>10.46134532900931</v>
      </c>
      <c r="E67" s="5">
        <v>0.46929000000000004</v>
      </c>
      <c r="F67" s="5">
        <v>9.5589999999999994E-2</v>
      </c>
    </row>
    <row r="68" spans="1:6" x14ac:dyDescent="0.25">
      <c r="A68">
        <f t="shared" si="0"/>
        <v>67</v>
      </c>
      <c r="B68">
        <v>90</v>
      </c>
      <c r="C68" s="5">
        <v>1.3103412128518266</v>
      </c>
      <c r="D68" s="5">
        <v>2.4871909665224097</v>
      </c>
      <c r="E68" s="5">
        <v>0.76316000000000006</v>
      </c>
      <c r="F68" s="5">
        <v>0.40206000000000003</v>
      </c>
    </row>
    <row r="69" spans="1:6" x14ac:dyDescent="0.25">
      <c r="A69">
        <f t="shared" si="0"/>
        <v>68</v>
      </c>
      <c r="B69">
        <v>92</v>
      </c>
      <c r="C69" s="5">
        <v>1.5846102651052973</v>
      </c>
      <c r="D69" s="5">
        <v>10.608953957139827</v>
      </c>
      <c r="E69" s="5">
        <v>0.63107000000000002</v>
      </c>
      <c r="F69" s="5">
        <v>9.4259999999999997E-2</v>
      </c>
    </row>
    <row r="70" spans="1:6" x14ac:dyDescent="0.25">
      <c r="A70">
        <f t="shared" si="0"/>
        <v>69</v>
      </c>
      <c r="B70">
        <v>93</v>
      </c>
      <c r="C70" s="5">
        <v>8.4068936527952918</v>
      </c>
      <c r="D70" s="5">
        <v>14.539110206455362</v>
      </c>
      <c r="E70" s="5">
        <v>0.11895</v>
      </c>
      <c r="F70" s="5">
        <v>6.8780000000000008E-2</v>
      </c>
    </row>
    <row r="71" spans="1:6" x14ac:dyDescent="0.25">
      <c r="A71">
        <f t="shared" si="0"/>
        <v>70</v>
      </c>
      <c r="B71">
        <v>94</v>
      </c>
      <c r="C71" s="5">
        <v>3.3326667999733388</v>
      </c>
      <c r="D71" s="5">
        <v>6.2472668207659146</v>
      </c>
      <c r="E71" s="5">
        <v>0.30005999999999999</v>
      </c>
      <c r="F71" s="5">
        <v>0.16007000000000002</v>
      </c>
    </row>
    <row r="72" spans="1:6" x14ac:dyDescent="0.25">
      <c r="A72">
        <f t="shared" si="0"/>
        <v>71</v>
      </c>
      <c r="B72">
        <v>95</v>
      </c>
      <c r="C72" s="5">
        <v>2.3426335886803944</v>
      </c>
      <c r="D72" s="5">
        <v>3.1227555194703807</v>
      </c>
      <c r="E72" s="5">
        <v>0.42686999999999997</v>
      </c>
      <c r="F72" s="5">
        <v>0.32023000000000001</v>
      </c>
    </row>
    <row r="73" spans="1:6" x14ac:dyDescent="0.25">
      <c r="A73">
        <f t="shared" si="0"/>
        <v>72</v>
      </c>
      <c r="B73">
        <v>96</v>
      </c>
      <c r="C73" s="5">
        <v>2.605184316790413</v>
      </c>
      <c r="D73" s="5">
        <v>6.5333856004181374</v>
      </c>
      <c r="E73" s="5">
        <v>0.38384999999999997</v>
      </c>
      <c r="F73" s="5">
        <v>0.15306</v>
      </c>
    </row>
    <row r="74" spans="1:6" x14ac:dyDescent="0.25">
      <c r="A74">
        <f t="shared" si="0"/>
        <v>73</v>
      </c>
      <c r="B74">
        <v>97</v>
      </c>
      <c r="C74" s="5">
        <v>6.6626690652275302</v>
      </c>
      <c r="D74" s="5">
        <v>11.097547442015314</v>
      </c>
      <c r="E74" s="5">
        <v>0.15009</v>
      </c>
      <c r="F74" s="5">
        <v>9.0109999999999996E-2</v>
      </c>
    </row>
    <row r="75" spans="1:6" x14ac:dyDescent="0.25">
      <c r="A75">
        <f t="shared" si="0"/>
        <v>74</v>
      </c>
      <c r="B75">
        <v>98</v>
      </c>
      <c r="C75" s="5">
        <v>2.9655990510083035</v>
      </c>
      <c r="D75" s="5">
        <v>12.708095056551024</v>
      </c>
      <c r="E75" s="5">
        <v>0.3372</v>
      </c>
      <c r="F75" s="5">
        <v>7.8689999999999996E-2</v>
      </c>
    </row>
    <row r="76" spans="1:6" x14ac:dyDescent="0.25">
      <c r="A76">
        <f t="shared" si="0"/>
        <v>75</v>
      </c>
      <c r="B76">
        <v>100</v>
      </c>
      <c r="C76" s="5">
        <v>2.7838093647347031</v>
      </c>
      <c r="D76" s="5">
        <v>5.8937938350916488</v>
      </c>
      <c r="E76" s="5">
        <v>0.35921999999999998</v>
      </c>
      <c r="F76" s="5">
        <v>0.16966999999999999</v>
      </c>
    </row>
    <row r="77" spans="1:6" x14ac:dyDescent="0.25">
      <c r="A77">
        <f t="shared" si="0"/>
        <v>76</v>
      </c>
      <c r="B77">
        <v>101</v>
      </c>
      <c r="C77" s="5">
        <v>4.6247051750450909</v>
      </c>
      <c r="D77" s="5">
        <v>6.9013112491373354</v>
      </c>
      <c r="E77" s="5">
        <v>0.21623000000000001</v>
      </c>
      <c r="F77" s="5">
        <v>0.1449</v>
      </c>
    </row>
    <row r="78" spans="1:6" x14ac:dyDescent="0.25">
      <c r="A78">
        <f t="shared" si="0"/>
        <v>77</v>
      </c>
      <c r="B78">
        <v>102</v>
      </c>
      <c r="C78" s="5">
        <v>20.50020500205002</v>
      </c>
      <c r="D78" s="5">
        <v>35.0140056022409</v>
      </c>
      <c r="E78" s="5">
        <v>4.8780000000000004E-2</v>
      </c>
      <c r="F78" s="5">
        <v>2.8559999999999999E-2</v>
      </c>
    </row>
    <row r="79" spans="1:6" x14ac:dyDescent="0.25">
      <c r="A79">
        <f t="shared" si="0"/>
        <v>78</v>
      </c>
      <c r="B79">
        <v>103</v>
      </c>
      <c r="C79" s="5">
        <v>4.4397087551056647</v>
      </c>
      <c r="D79" s="5">
        <v>6.5172054223149116</v>
      </c>
      <c r="E79" s="5">
        <v>0.22524</v>
      </c>
      <c r="F79" s="5">
        <v>0.15343999999999999</v>
      </c>
    </row>
    <row r="80" spans="1:6" x14ac:dyDescent="0.25">
      <c r="A80">
        <f t="shared" si="0"/>
        <v>79</v>
      </c>
      <c r="B80">
        <v>104</v>
      </c>
      <c r="C80" s="5">
        <v>2.6621233095516983</v>
      </c>
      <c r="D80" s="5">
        <v>4.0933278755628324</v>
      </c>
      <c r="E80" s="5">
        <v>0.37563999999999997</v>
      </c>
      <c r="F80" s="5">
        <v>0.24429999999999999</v>
      </c>
    </row>
    <row r="81" spans="1:6" x14ac:dyDescent="0.25">
      <c r="A81">
        <f t="shared" si="0"/>
        <v>80</v>
      </c>
      <c r="B81">
        <v>105</v>
      </c>
      <c r="C81" s="5">
        <v>3.2813781788351104</v>
      </c>
      <c r="D81" s="5">
        <v>3.9797827038643692</v>
      </c>
      <c r="E81" s="5">
        <v>0.30475000000000002</v>
      </c>
      <c r="F81" s="5">
        <v>0.25126999999999999</v>
      </c>
    </row>
    <row r="82" spans="1:6" x14ac:dyDescent="0.25">
      <c r="A82">
        <f t="shared" si="0"/>
        <v>81</v>
      </c>
      <c r="B82">
        <v>106</v>
      </c>
      <c r="C82" s="5">
        <v>2.3539935500576727</v>
      </c>
      <c r="D82" s="5">
        <v>6.4036885245901631</v>
      </c>
      <c r="E82" s="5">
        <v>0.42481000000000002</v>
      </c>
      <c r="F82" s="5">
        <v>0.15615999999999999</v>
      </c>
    </row>
    <row r="83" spans="1:6" x14ac:dyDescent="0.25">
      <c r="A83">
        <f t="shared" si="0"/>
        <v>82</v>
      </c>
      <c r="B83">
        <v>107</v>
      </c>
      <c r="C83" s="5">
        <v>3.6415279851425666</v>
      </c>
      <c r="D83" s="5">
        <v>8.6640097036908692</v>
      </c>
      <c r="E83" s="5">
        <v>0.27460999999999997</v>
      </c>
      <c r="F83" s="5">
        <v>0.11541999999999999</v>
      </c>
    </row>
    <row r="84" spans="1:6" x14ac:dyDescent="0.25">
      <c r="A84">
        <f t="shared" si="0"/>
        <v>83</v>
      </c>
      <c r="B84">
        <v>108</v>
      </c>
      <c r="C84" s="5">
        <v>50.968399592252808</v>
      </c>
      <c r="D84" s="5">
        <v>103.84215991692628</v>
      </c>
      <c r="E84" s="5">
        <v>1.9619999999999999E-2</v>
      </c>
      <c r="F84" s="5">
        <v>9.6299999999999997E-3</v>
      </c>
    </row>
    <row r="85" spans="1:6" x14ac:dyDescent="0.25">
      <c r="A85">
        <f t="shared" si="0"/>
        <v>84</v>
      </c>
      <c r="B85">
        <v>109</v>
      </c>
      <c r="C85" s="5">
        <v>12.753475322025249</v>
      </c>
      <c r="D85" s="5">
        <v>34.698126301179741</v>
      </c>
      <c r="E85" s="5">
        <v>7.8410000000000007E-2</v>
      </c>
      <c r="F85" s="5">
        <v>2.8820000000000002E-2</v>
      </c>
    </row>
    <row r="86" spans="1:6" x14ac:dyDescent="0.25">
      <c r="A86">
        <f t="shared" si="0"/>
        <v>85</v>
      </c>
      <c r="B86">
        <v>110</v>
      </c>
      <c r="C86" s="5">
        <v>2.6333807341865487</v>
      </c>
      <c r="D86" s="5">
        <v>3.5158035368983578</v>
      </c>
      <c r="E86" s="5">
        <v>0.37973999999999997</v>
      </c>
      <c r="F86" s="5">
        <v>0.28443000000000002</v>
      </c>
    </row>
    <row r="87" spans="1:6" x14ac:dyDescent="0.25">
      <c r="A87">
        <f t="shared" si="0"/>
        <v>86</v>
      </c>
      <c r="B87">
        <v>112</v>
      </c>
      <c r="C87" s="5">
        <v>4.1600798735335713</v>
      </c>
      <c r="D87" s="5">
        <v>8.3201597470671427</v>
      </c>
      <c r="E87" s="5">
        <v>0.24038000000000001</v>
      </c>
      <c r="F87" s="5">
        <v>0.12019000000000001</v>
      </c>
    </row>
    <row r="88" spans="1:6" x14ac:dyDescent="0.25">
      <c r="A88">
        <f t="shared" si="0"/>
        <v>87</v>
      </c>
      <c r="B88">
        <v>114</v>
      </c>
      <c r="C88" s="5">
        <v>11.828720132481665</v>
      </c>
      <c r="D88" s="5">
        <v>31.715826197272435</v>
      </c>
      <c r="E88" s="5">
        <v>8.4540000000000004E-2</v>
      </c>
      <c r="F88" s="5">
        <v>3.1530000000000002E-2</v>
      </c>
    </row>
    <row r="89" spans="1:6" x14ac:dyDescent="0.25">
      <c r="A89">
        <f t="shared" si="0"/>
        <v>88</v>
      </c>
      <c r="B89">
        <v>115</v>
      </c>
      <c r="C89" s="5">
        <v>4.2973785990545768</v>
      </c>
      <c r="D89" s="5">
        <v>13.551971811898634</v>
      </c>
      <c r="E89" s="5">
        <v>0.23269999999999999</v>
      </c>
      <c r="F89" s="5">
        <v>7.3789999999999994E-2</v>
      </c>
    </row>
    <row r="90" spans="1:6" x14ac:dyDescent="0.25">
      <c r="A90">
        <f t="shared" si="0"/>
        <v>89</v>
      </c>
      <c r="B90">
        <v>117</v>
      </c>
      <c r="C90" s="5">
        <v>4.7494656851104251</v>
      </c>
      <c r="D90" s="5">
        <v>11.974613818704343</v>
      </c>
      <c r="E90" s="5">
        <v>0.21054999999999999</v>
      </c>
      <c r="F90" s="5">
        <v>8.3510000000000015E-2</v>
      </c>
    </row>
    <row r="91" spans="1:6" x14ac:dyDescent="0.25">
      <c r="A91">
        <f t="shared" si="0"/>
        <v>90</v>
      </c>
      <c r="B91">
        <v>118</v>
      </c>
      <c r="C91" s="5">
        <v>2.9976917773314549</v>
      </c>
      <c r="D91" s="5">
        <v>6.5240083507306883</v>
      </c>
      <c r="E91" s="5">
        <v>0.33359</v>
      </c>
      <c r="F91" s="5">
        <v>0.15328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H1"/>
  <sheetViews>
    <sheetView zoomScale="90" zoomScaleNormal="90" workbookViewId="0">
      <selection activeCell="H29" sqref="A2:H29"/>
    </sheetView>
  </sheetViews>
  <sheetFormatPr defaultColWidth="9.109375" defaultRowHeight="13.2" x14ac:dyDescent="0.25"/>
  <cols>
    <col min="1" max="1" width="7.6640625" style="5" bestFit="1" customWidth="1"/>
    <col min="2" max="2" width="7.5546875" style="5" customWidth="1"/>
    <col min="3" max="3" width="6.88671875" style="5" bestFit="1" customWidth="1"/>
    <col min="4" max="4" width="5.88671875" style="5" bestFit="1" customWidth="1"/>
    <col min="5" max="5" width="6.5546875" style="5" bestFit="1" customWidth="1"/>
    <col min="6" max="6" width="4.6640625" style="5" bestFit="1" customWidth="1"/>
    <col min="7" max="7" width="9.109375" style="5" bestFit="1" customWidth="1"/>
    <col min="8" max="8" width="15.5546875" style="5" bestFit="1" customWidth="1"/>
  </cols>
  <sheetData>
    <row r="1" spans="1:8" x14ac:dyDescent="0.25">
      <c r="A1" s="2" t="s">
        <v>28</v>
      </c>
      <c r="B1" s="2" t="s">
        <v>0</v>
      </c>
      <c r="C1" s="2" t="s">
        <v>30</v>
      </c>
      <c r="D1" s="2" t="s">
        <v>9</v>
      </c>
      <c r="E1" s="2" t="s">
        <v>31</v>
      </c>
      <c r="F1" s="2" t="s">
        <v>3</v>
      </c>
      <c r="G1" s="8" t="s">
        <v>13</v>
      </c>
      <c r="H1" s="8" t="s">
        <v>14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2"/>
  <sheetViews>
    <sheetView zoomScale="112" zoomScaleNormal="112" workbookViewId="0">
      <selection activeCell="J16" sqref="J16"/>
    </sheetView>
  </sheetViews>
  <sheetFormatPr defaultColWidth="11.6640625" defaultRowHeight="13.2" x14ac:dyDescent="0.25"/>
  <cols>
    <col min="1" max="1" width="8.33203125" style="5" bestFit="1" customWidth="1"/>
    <col min="2" max="2" width="4.33203125" style="5" bestFit="1" customWidth="1"/>
    <col min="3" max="3" width="8.33203125" style="5" bestFit="1" customWidth="1"/>
    <col min="4" max="4" width="10" style="5" bestFit="1" customWidth="1"/>
    <col min="5" max="5" width="12.44140625" style="5" bestFit="1" customWidth="1"/>
    <col min="6" max="6" width="5" style="5" bestFit="1" customWidth="1"/>
    <col min="7" max="7" width="7.33203125" style="5" bestFit="1" customWidth="1"/>
    <col min="8" max="8" width="3.5546875" style="5" bestFit="1" customWidth="1"/>
    <col min="9" max="9" width="3.109375" style="5" bestFit="1" customWidth="1"/>
    <col min="10" max="10" width="5.109375" style="5" bestFit="1" customWidth="1"/>
    <col min="11" max="11" width="9.33203125" style="5" bestFit="1" customWidth="1"/>
    <col min="12" max="12" width="5.88671875" style="5" bestFit="1" customWidth="1"/>
    <col min="13" max="13" width="6.88671875" style="5" bestFit="1" customWidth="1"/>
    <col min="14" max="19" width="5.88671875" style="5" bestFit="1" customWidth="1"/>
    <col min="20" max="20" width="3.5546875" style="5" bestFit="1" customWidth="1"/>
    <col min="21" max="21" width="3.33203125" style="5" bestFit="1" customWidth="1"/>
    <col min="22" max="27" width="4.109375" style="5" bestFit="1" customWidth="1"/>
    <col min="28" max="31" width="5.109375" style="5" bestFit="1" customWidth="1"/>
    <col min="32" max="36" width="4.6640625" style="5" bestFit="1" customWidth="1"/>
    <col min="37" max="37" width="4.109375" style="5" bestFit="1" customWidth="1"/>
    <col min="38" max="38" width="6.33203125" style="5" bestFit="1" customWidth="1"/>
    <col min="39" max="40" width="3.5546875" style="5" bestFit="1" customWidth="1"/>
    <col min="41" max="41" width="6.6640625" style="5" bestFit="1" customWidth="1"/>
    <col min="42" max="43" width="5.109375" style="5" bestFit="1" customWidth="1"/>
    <col min="44" max="44" width="6" style="5" bestFit="1" customWidth="1"/>
    <col min="45" max="45" width="9.33203125" style="5" bestFit="1" customWidth="1"/>
    <col min="46" max="46" width="5.109375" style="5" bestFit="1" customWidth="1"/>
    <col min="47" max="47" width="6" style="5" bestFit="1" customWidth="1"/>
    <col min="48" max="48" width="9.33203125" style="5" bestFit="1" customWidth="1"/>
    <col min="49" max="49" width="7" style="5" bestFit="1" customWidth="1"/>
    <col min="50" max="50" width="10.33203125" style="5" bestFit="1" customWidth="1"/>
    <col min="51" max="51" width="7" style="5" bestFit="1" customWidth="1"/>
    <col min="52" max="52" width="10.33203125" style="5" bestFit="1" customWidth="1"/>
    <col min="53" max="53" width="9.44140625" style="5" bestFit="1" customWidth="1"/>
    <col min="54" max="54" width="10.33203125" bestFit="1" customWidth="1"/>
  </cols>
  <sheetData>
    <row r="1" spans="1:54" x14ac:dyDescent="0.25">
      <c r="A1" s="2" t="s">
        <v>28</v>
      </c>
      <c r="B1" s="2" t="s">
        <v>0</v>
      </c>
      <c r="C1" s="2" t="s">
        <v>30</v>
      </c>
      <c r="D1" s="2" t="s">
        <v>9</v>
      </c>
      <c r="E1" s="2" t="s">
        <v>31</v>
      </c>
      <c r="F1" s="2" t="s">
        <v>3</v>
      </c>
      <c r="G1" s="3" t="s">
        <v>32</v>
      </c>
      <c r="H1" s="3" t="s">
        <v>33</v>
      </c>
      <c r="I1" s="3" t="s">
        <v>34</v>
      </c>
      <c r="J1" s="3" t="s">
        <v>13</v>
      </c>
      <c r="K1" s="3" t="s">
        <v>35</v>
      </c>
      <c r="L1" s="3" t="s">
        <v>36</v>
      </c>
      <c r="M1" s="3" t="s">
        <v>37</v>
      </c>
      <c r="N1" s="3" t="s">
        <v>38</v>
      </c>
      <c r="O1" s="15" t="s">
        <v>39</v>
      </c>
      <c r="P1" s="15" t="s">
        <v>40</v>
      </c>
      <c r="Q1" s="15" t="s">
        <v>41</v>
      </c>
      <c r="R1" s="15" t="s">
        <v>42</v>
      </c>
      <c r="S1" s="15" t="s">
        <v>43</v>
      </c>
      <c r="T1" s="15" t="s">
        <v>44</v>
      </c>
      <c r="U1" s="15" t="s">
        <v>45</v>
      </c>
      <c r="V1" s="15" t="s">
        <v>46</v>
      </c>
      <c r="W1" s="15" t="s">
        <v>47</v>
      </c>
      <c r="X1" s="15" t="s">
        <v>48</v>
      </c>
      <c r="Y1" s="15" t="s">
        <v>49</v>
      </c>
      <c r="Z1" s="15" t="s">
        <v>50</v>
      </c>
      <c r="AA1" s="15" t="s">
        <v>51</v>
      </c>
      <c r="AB1" s="15" t="s">
        <v>52</v>
      </c>
      <c r="AC1" s="15" t="s">
        <v>53</v>
      </c>
      <c r="AD1" s="15" t="s">
        <v>54</v>
      </c>
      <c r="AE1" s="15" t="s">
        <v>55</v>
      </c>
      <c r="AF1" s="15" t="s">
        <v>56</v>
      </c>
      <c r="AG1" s="15" t="s">
        <v>57</v>
      </c>
      <c r="AH1" s="15" t="s">
        <v>58</v>
      </c>
      <c r="AI1" s="15" t="s">
        <v>59</v>
      </c>
      <c r="AJ1" s="15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  <c r="AV1" s="3" t="s">
        <v>72</v>
      </c>
      <c r="AW1" s="3" t="s">
        <v>73</v>
      </c>
      <c r="AX1" s="3" t="s">
        <v>74</v>
      </c>
      <c r="AY1" s="3" t="s">
        <v>75</v>
      </c>
      <c r="AZ1" s="3" t="s">
        <v>76</v>
      </c>
      <c r="BA1" s="4" t="s">
        <v>11</v>
      </c>
      <c r="BB1" s="4" t="s">
        <v>77</v>
      </c>
    </row>
    <row r="2" spans="1:54" x14ac:dyDescent="0.25">
      <c r="B2" s="6"/>
      <c r="C2" s="6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"/>
  <sheetViews>
    <sheetView zoomScale="93" zoomScaleNormal="93" workbookViewId="0">
      <selection activeCell="A2" sqref="A2:XFD2"/>
    </sheetView>
  </sheetViews>
  <sheetFormatPr defaultColWidth="11.6640625" defaultRowHeight="13.2" x14ac:dyDescent="0.25"/>
  <cols>
    <col min="1" max="1" width="8" style="5" bestFit="1" customWidth="1"/>
    <col min="2" max="2" width="4.33203125" style="5" bestFit="1" customWidth="1"/>
    <col min="3" max="3" width="2.33203125" style="5" bestFit="1" customWidth="1"/>
    <col min="4" max="4" width="4.33203125" style="5" bestFit="1" customWidth="1"/>
    <col min="5" max="5" width="6.6640625" style="5" bestFit="1" customWidth="1"/>
    <col min="6" max="6" width="4.88671875" style="5" bestFit="1" customWidth="1"/>
    <col min="7" max="7" width="3.109375" style="5" bestFit="1" customWidth="1"/>
    <col min="8" max="8" width="5.33203125" style="5" bestFit="1" customWidth="1"/>
    <col min="9" max="9" width="4.109375" style="5" bestFit="1" customWidth="1"/>
    <col min="10" max="10" width="5.109375" style="5" bestFit="1" customWidth="1"/>
    <col min="11" max="11" width="7.44140625" style="5" bestFit="1" customWidth="1"/>
    <col min="12" max="12" width="8.44140625" style="5" bestFit="1" customWidth="1"/>
    <col min="13" max="13" width="6.33203125" style="5" bestFit="1" customWidth="1"/>
    <col min="14" max="14" width="8.88671875" style="5" bestFit="1" customWidth="1"/>
    <col min="15" max="15" width="8.5546875" style="5" bestFit="1" customWidth="1"/>
    <col min="16" max="16" width="6.6640625" style="5" bestFit="1" customWidth="1"/>
    <col min="17" max="17" width="10" style="5" bestFit="1" customWidth="1"/>
    <col min="18" max="19" width="7.88671875" style="5" bestFit="1" customWidth="1"/>
    <col min="20" max="20" width="10.33203125" style="5" bestFit="1" customWidth="1"/>
    <col min="21" max="21" width="6" style="5" bestFit="1" customWidth="1"/>
    <col min="22" max="22" width="8.6640625" style="5" bestFit="1" customWidth="1"/>
    <col min="23" max="23" width="8.44140625" style="5" bestFit="1" customWidth="1"/>
  </cols>
  <sheetData>
    <row r="1" spans="1:23" x14ac:dyDescent="0.25">
      <c r="A1" s="2" t="s">
        <v>28</v>
      </c>
      <c r="B1" s="2" t="s">
        <v>0</v>
      </c>
      <c r="C1" s="2" t="s">
        <v>30</v>
      </c>
      <c r="D1" s="2" t="s">
        <v>9</v>
      </c>
      <c r="E1" s="2" t="s">
        <v>31</v>
      </c>
      <c r="F1" s="2" t="s">
        <v>3</v>
      </c>
      <c r="G1" s="8" t="s">
        <v>34</v>
      </c>
      <c r="H1" s="8" t="s">
        <v>112</v>
      </c>
      <c r="I1" s="8" t="s">
        <v>32</v>
      </c>
      <c r="J1" s="8" t="s">
        <v>10</v>
      </c>
      <c r="K1" s="13" t="s">
        <v>116</v>
      </c>
      <c r="L1" s="13" t="s">
        <v>117</v>
      </c>
      <c r="M1" s="13" t="s">
        <v>10</v>
      </c>
      <c r="N1" s="13" t="s">
        <v>114</v>
      </c>
      <c r="O1" s="8" t="s">
        <v>115</v>
      </c>
      <c r="P1" s="8" t="s">
        <v>82</v>
      </c>
      <c r="Q1" s="8" t="s">
        <v>83</v>
      </c>
      <c r="R1" s="8" t="s">
        <v>84</v>
      </c>
      <c r="S1" s="8" t="s">
        <v>85</v>
      </c>
      <c r="T1" s="12" t="s">
        <v>88</v>
      </c>
      <c r="U1" s="12" t="s">
        <v>89</v>
      </c>
      <c r="V1" s="8" t="s">
        <v>90</v>
      </c>
      <c r="W1" s="8" t="s">
        <v>91</v>
      </c>
    </row>
    <row r="2" spans="1:23" x14ac:dyDescent="0.25">
      <c r="E2" s="19"/>
      <c r="I2" s="11"/>
      <c r="J2" s="7"/>
      <c r="Q2" s="9"/>
      <c r="R2" s="14"/>
      <c r="S2" s="14"/>
      <c r="V2" s="7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F2"/>
  <sheetViews>
    <sheetView workbookViewId="0">
      <selection activeCell="F9" sqref="F9"/>
    </sheetView>
  </sheetViews>
  <sheetFormatPr defaultColWidth="9.109375" defaultRowHeight="13.2" x14ac:dyDescent="0.25"/>
  <sheetData>
    <row r="1" spans="1:6" x14ac:dyDescent="0.25">
      <c r="A1" s="2" t="s">
        <v>28</v>
      </c>
      <c r="B1" s="2" t="s">
        <v>0</v>
      </c>
      <c r="C1" s="2" t="s">
        <v>30</v>
      </c>
      <c r="D1" s="2" t="s">
        <v>9</v>
      </c>
      <c r="E1" s="2" t="s">
        <v>31</v>
      </c>
      <c r="F1" s="2" t="s">
        <v>3</v>
      </c>
    </row>
    <row r="2" spans="1:6" x14ac:dyDescent="0.25">
      <c r="A2" s="5"/>
      <c r="B2" s="5"/>
      <c r="C2" s="5"/>
      <c r="D2" s="5"/>
      <c r="E2" s="19"/>
      <c r="F2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7"/>
  <sheetViews>
    <sheetView zoomScale="80" zoomScaleNormal="80" workbookViewId="0">
      <selection activeCell="A2" sqref="A2:XFD2"/>
    </sheetView>
  </sheetViews>
  <sheetFormatPr defaultColWidth="11.6640625" defaultRowHeight="13.2" x14ac:dyDescent="0.25"/>
  <cols>
    <col min="1" max="1" width="7.5546875" style="5" bestFit="1" customWidth="1"/>
    <col min="2" max="2" width="7.44140625" style="5" bestFit="1" customWidth="1"/>
    <col min="3" max="3" width="7.5546875" style="5" bestFit="1" customWidth="1"/>
    <col min="4" max="4" width="6.44140625" style="5" bestFit="1" customWidth="1"/>
    <col min="5" max="5" width="9.88671875" style="5" bestFit="1" customWidth="1"/>
    <col min="6" max="6" width="3" style="5" bestFit="1" customWidth="1"/>
    <col min="7" max="7" width="8.5546875" style="5" bestFit="1" customWidth="1"/>
    <col min="8" max="8" width="6.5546875" style="5" bestFit="1" customWidth="1"/>
    <col min="9" max="9" width="6" style="5" bestFit="1" customWidth="1"/>
    <col min="10" max="14" width="8.109375" style="5" bestFit="1" customWidth="1"/>
    <col min="15" max="15" width="6" style="5" bestFit="1" customWidth="1"/>
    <col min="16" max="16" width="12.33203125" style="5" bestFit="1" customWidth="1"/>
    <col min="17" max="17" width="6.109375" style="5" bestFit="1" customWidth="1"/>
    <col min="18" max="18" width="9.109375" style="5" bestFit="1" customWidth="1"/>
    <col min="19" max="22" width="12.33203125" style="5" bestFit="1" customWidth="1"/>
    <col min="23" max="24" width="8.5546875" style="5" bestFit="1" customWidth="1"/>
    <col min="25" max="29" width="8.109375" style="5" bestFit="1" customWidth="1"/>
    <col min="30" max="30" width="4.44140625" style="5" bestFit="1" customWidth="1"/>
    <col min="31" max="31" width="2.88671875" style="5" bestFit="1" customWidth="1"/>
    <col min="32" max="32" width="6.5546875" style="5" bestFit="1" customWidth="1"/>
    <col min="33" max="33" width="8.109375" style="5" bestFit="1" customWidth="1"/>
    <col min="34" max="34" width="11.6640625" style="16"/>
  </cols>
  <sheetData>
    <row r="1" spans="1:33" s="1" customFormat="1" x14ac:dyDescent="0.25">
      <c r="A1" s="8" t="s">
        <v>28</v>
      </c>
      <c r="B1" s="8" t="s">
        <v>29</v>
      </c>
      <c r="C1" s="8" t="s">
        <v>92</v>
      </c>
      <c r="D1" s="8" t="s">
        <v>10</v>
      </c>
      <c r="E1" s="8" t="s">
        <v>113</v>
      </c>
      <c r="F1" s="8" t="s">
        <v>78</v>
      </c>
      <c r="G1" s="8" t="s">
        <v>79</v>
      </c>
      <c r="H1" s="8" t="s">
        <v>33</v>
      </c>
      <c r="I1" s="8" t="s">
        <v>32</v>
      </c>
      <c r="J1" s="8" t="s">
        <v>93</v>
      </c>
      <c r="K1" s="8" t="s">
        <v>21</v>
      </c>
      <c r="L1" s="8" t="s">
        <v>24</v>
      </c>
      <c r="M1" s="8" t="s">
        <v>19</v>
      </c>
      <c r="N1" s="8" t="s">
        <v>22</v>
      </c>
      <c r="O1" s="8" t="s">
        <v>80</v>
      </c>
      <c r="P1" s="8" t="s">
        <v>81</v>
      </c>
      <c r="Q1" s="8" t="s">
        <v>82</v>
      </c>
      <c r="R1" s="8" t="s">
        <v>83</v>
      </c>
      <c r="S1" s="8" t="s">
        <v>84</v>
      </c>
      <c r="T1" s="8" t="s">
        <v>85</v>
      </c>
      <c r="U1" s="8" t="s">
        <v>94</v>
      </c>
      <c r="V1" s="8" t="s">
        <v>95</v>
      </c>
      <c r="W1" s="8" t="s">
        <v>96</v>
      </c>
      <c r="X1" s="8" t="s">
        <v>97</v>
      </c>
      <c r="Y1" s="8" t="s">
        <v>98</v>
      </c>
      <c r="Z1" s="8" t="s">
        <v>99</v>
      </c>
      <c r="AA1" s="8" t="s">
        <v>100</v>
      </c>
      <c r="AB1" s="8" t="s">
        <v>101</v>
      </c>
      <c r="AC1" s="8" t="s">
        <v>102</v>
      </c>
      <c r="AD1" s="8" t="s">
        <v>103</v>
      </c>
      <c r="AE1" s="8" t="s">
        <v>104</v>
      </c>
      <c r="AF1" s="8" t="s">
        <v>90</v>
      </c>
      <c r="AG1" s="8" t="s">
        <v>91</v>
      </c>
    </row>
    <row r="6" spans="1:33" x14ac:dyDescent="0.25">
      <c r="AA6" s="17"/>
      <c r="AB6" s="17"/>
    </row>
    <row r="7" spans="1:33" x14ac:dyDescent="0.25">
      <c r="G7" s="7"/>
      <c r="H7" s="7"/>
      <c r="I7" s="7"/>
      <c r="J7" s="7"/>
      <c r="K7" s="7"/>
      <c r="L7" s="7"/>
      <c r="M7" s="7"/>
      <c r="N7" s="7"/>
      <c r="R7" s="7"/>
      <c r="W7" s="7"/>
      <c r="X7" s="7"/>
      <c r="AA7" s="18"/>
      <c r="AB7" s="17"/>
      <c r="AC7" s="7"/>
      <c r="AE7" s="7"/>
      <c r="AF7" s="7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7F0E-8686-4B04-A454-A58E73DB143C}">
  <dimension ref="A1:AF1"/>
  <sheetViews>
    <sheetView zoomScale="89" zoomScaleNormal="89" workbookViewId="0">
      <selection activeCell="A2" sqref="A2:XFD2"/>
    </sheetView>
  </sheetViews>
  <sheetFormatPr defaultColWidth="9.109375" defaultRowHeight="13.2" x14ac:dyDescent="0.25"/>
  <cols>
    <col min="1" max="1" width="7.44140625" style="5" bestFit="1" customWidth="1"/>
    <col min="2" max="2" width="7.33203125" style="5" bestFit="1" customWidth="1"/>
    <col min="3" max="3" width="7.44140625" style="5" bestFit="1" customWidth="1"/>
    <col min="4" max="4" width="4.6640625" style="5" bestFit="1" customWidth="1"/>
    <col min="5" max="5" width="9.88671875" style="5" bestFit="1" customWidth="1"/>
    <col min="6" max="6" width="3" style="5" bestFit="1" customWidth="1"/>
    <col min="7" max="7" width="8.5546875" style="5" bestFit="1" customWidth="1"/>
    <col min="8" max="8" width="6.5546875" style="5" bestFit="1" customWidth="1"/>
    <col min="9" max="9" width="5.88671875" style="5" bestFit="1" customWidth="1"/>
    <col min="10" max="14" width="8.44140625" style="5" bestFit="1" customWidth="1"/>
    <col min="15" max="15" width="5.88671875" style="5" bestFit="1" customWidth="1"/>
    <col min="16" max="16" width="12" style="5" bestFit="1" customWidth="1"/>
    <col min="17" max="17" width="6" style="5" bestFit="1" customWidth="1"/>
    <col min="18" max="18" width="8.44140625" style="5" bestFit="1" customWidth="1"/>
    <col min="19" max="22" width="12" style="5" bestFit="1" customWidth="1"/>
    <col min="23" max="24" width="8.44140625" style="5" bestFit="1" customWidth="1"/>
    <col min="25" max="25" width="11" style="5" bestFit="1" customWidth="1"/>
    <col min="26" max="26" width="12" style="5" bestFit="1" customWidth="1"/>
    <col min="27" max="27" width="10.109375" style="5" bestFit="1" customWidth="1"/>
    <col min="28" max="28" width="10.33203125" style="5" bestFit="1" customWidth="1"/>
    <col min="29" max="29" width="8" style="5" bestFit="1" customWidth="1"/>
    <col min="30" max="30" width="2.88671875" style="5" bestFit="1" customWidth="1"/>
    <col min="31" max="32" width="8" style="5" bestFit="1" customWidth="1"/>
  </cols>
  <sheetData>
    <row r="1" spans="1:32" s="1" customFormat="1" x14ac:dyDescent="0.25">
      <c r="A1" s="8" t="s">
        <v>28</v>
      </c>
      <c r="B1" s="8" t="s">
        <v>29</v>
      </c>
      <c r="C1" s="8" t="s">
        <v>92</v>
      </c>
      <c r="D1" s="8" t="s">
        <v>10</v>
      </c>
      <c r="E1" s="8" t="s">
        <v>113</v>
      </c>
      <c r="F1" s="8" t="s">
        <v>78</v>
      </c>
      <c r="G1" s="8" t="s">
        <v>79</v>
      </c>
      <c r="H1" s="8" t="s">
        <v>33</v>
      </c>
      <c r="I1" s="8" t="s">
        <v>32</v>
      </c>
      <c r="J1" s="8" t="s">
        <v>93</v>
      </c>
      <c r="K1" s="8" t="s">
        <v>21</v>
      </c>
      <c r="L1" s="8" t="s">
        <v>24</v>
      </c>
      <c r="M1" s="8" t="s">
        <v>19</v>
      </c>
      <c r="N1" s="8" t="s">
        <v>22</v>
      </c>
      <c r="O1" s="8" t="s">
        <v>80</v>
      </c>
      <c r="P1" s="8" t="s">
        <v>81</v>
      </c>
      <c r="Q1" s="8" t="s">
        <v>82</v>
      </c>
      <c r="R1" s="8" t="s">
        <v>83</v>
      </c>
      <c r="S1" s="8" t="s">
        <v>84</v>
      </c>
      <c r="T1" s="8" t="s">
        <v>85</v>
      </c>
      <c r="U1" s="8" t="s">
        <v>94</v>
      </c>
      <c r="V1" s="8" t="s">
        <v>95</v>
      </c>
      <c r="W1" s="8" t="s">
        <v>96</v>
      </c>
      <c r="X1" s="8" t="s">
        <v>97</v>
      </c>
      <c r="Y1" s="8" t="s">
        <v>86</v>
      </c>
      <c r="Z1" s="8" t="s">
        <v>87</v>
      </c>
      <c r="AA1" s="12" t="s">
        <v>100</v>
      </c>
      <c r="AB1" s="12" t="s">
        <v>101</v>
      </c>
      <c r="AC1" s="8" t="s">
        <v>102</v>
      </c>
      <c r="AD1" s="8" t="s">
        <v>104</v>
      </c>
      <c r="AE1" s="8" t="s">
        <v>90</v>
      </c>
      <c r="AF1" s="8" t="s">
        <v>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N9"/>
  <sheetViews>
    <sheetView zoomScale="95" zoomScaleNormal="95" workbookViewId="0">
      <selection activeCell="A2" sqref="A2:XFD2"/>
    </sheetView>
  </sheetViews>
  <sheetFormatPr defaultColWidth="9.109375" defaultRowHeight="13.2" x14ac:dyDescent="0.25"/>
  <cols>
    <col min="1" max="2" width="5.33203125" style="5" bestFit="1" customWidth="1"/>
    <col min="3" max="3" width="3.33203125" style="5" bestFit="1" customWidth="1"/>
    <col min="4" max="4" width="3.44140625" style="5" bestFit="1" customWidth="1"/>
    <col min="5" max="5" width="3.33203125" style="5" bestFit="1" customWidth="1"/>
    <col min="6" max="6" width="3.44140625" style="5" bestFit="1" customWidth="1"/>
    <col min="7" max="8" width="6.44140625" style="5" bestFit="1" customWidth="1"/>
    <col min="9" max="9" width="12" style="5" bestFit="1" customWidth="1"/>
    <col min="10" max="10" width="4.88671875" style="5" bestFit="1" customWidth="1"/>
    <col min="11" max="11" width="12.5546875" bestFit="1" customWidth="1"/>
  </cols>
  <sheetData>
    <row r="1" spans="1:14" x14ac:dyDescent="0.25">
      <c r="A1" s="2" t="s">
        <v>4</v>
      </c>
      <c r="B1" s="2" t="s">
        <v>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105</v>
      </c>
      <c r="J1" s="2" t="s">
        <v>3</v>
      </c>
    </row>
    <row r="4" spans="1:14" x14ac:dyDescent="0.25">
      <c r="K4" s="20"/>
      <c r="L4" s="20"/>
      <c r="M4" s="20"/>
      <c r="N4" s="20"/>
    </row>
    <row r="5" spans="1:14" x14ac:dyDescent="0.25">
      <c r="K5" s="6"/>
      <c r="L5" s="20"/>
      <c r="M5" s="20"/>
      <c r="N5" s="20"/>
    </row>
    <row r="6" spans="1:14" x14ac:dyDescent="0.25">
      <c r="K6" s="6"/>
      <c r="L6" s="6"/>
      <c r="M6" s="6"/>
      <c r="N6" s="20"/>
    </row>
    <row r="7" spans="1:14" x14ac:dyDescent="0.25">
      <c r="K7" s="20"/>
      <c r="L7" s="20"/>
      <c r="M7" s="20"/>
      <c r="N7" s="20"/>
    </row>
    <row r="8" spans="1:14" x14ac:dyDescent="0.25">
      <c r="K8" s="21"/>
      <c r="L8" s="20"/>
      <c r="M8" s="20"/>
      <c r="N8" s="20"/>
    </row>
    <row r="9" spans="1:14" x14ac:dyDescent="0.25">
      <c r="K9" s="20"/>
      <c r="L9" s="20"/>
      <c r="M9" s="20"/>
      <c r="N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M84"/>
  <sheetViews>
    <sheetView workbookViewId="0">
      <selection activeCell="A84" sqref="A84:K84"/>
    </sheetView>
  </sheetViews>
  <sheetFormatPr defaultColWidth="9.109375" defaultRowHeight="13.2" x14ac:dyDescent="0.25"/>
  <cols>
    <col min="1" max="1" width="3.33203125" customWidth="1"/>
    <col min="2" max="2" width="4.33203125" customWidth="1"/>
    <col min="8" max="8" width="6.5546875" customWidth="1"/>
    <col min="9" max="9" width="4.33203125" customWidth="1"/>
    <col min="10" max="10" width="9.33203125" customWidth="1"/>
  </cols>
  <sheetData>
    <row r="1" spans="1:13" x14ac:dyDescent="0.25">
      <c r="A1" s="2" t="s">
        <v>28</v>
      </c>
      <c r="B1" s="2" t="s">
        <v>0</v>
      </c>
      <c r="C1" s="8" t="s">
        <v>30</v>
      </c>
      <c r="D1" s="8" t="s">
        <v>9</v>
      </c>
      <c r="E1" s="8" t="s">
        <v>31</v>
      </c>
      <c r="F1" s="8" t="s">
        <v>119</v>
      </c>
      <c r="G1" s="2" t="s">
        <v>3</v>
      </c>
      <c r="H1" s="2" t="s">
        <v>118</v>
      </c>
      <c r="I1" s="8" t="s">
        <v>120</v>
      </c>
      <c r="J1" s="8" t="s">
        <v>134</v>
      </c>
    </row>
    <row r="2" spans="1:13" x14ac:dyDescent="0.25">
      <c r="A2" s="5">
        <v>1</v>
      </c>
      <c r="B2" s="5">
        <v>12</v>
      </c>
      <c r="C2" s="20"/>
      <c r="D2" s="20"/>
      <c r="E2" s="20"/>
      <c r="F2" s="20"/>
      <c r="G2" s="20">
        <v>1</v>
      </c>
      <c r="H2" s="20" t="s">
        <v>131</v>
      </c>
      <c r="I2" s="20">
        <v>360</v>
      </c>
      <c r="J2">
        <v>138</v>
      </c>
    </row>
    <row r="3" spans="1:13" x14ac:dyDescent="0.25">
      <c r="A3" s="5">
        <v>2</v>
      </c>
      <c r="B3" s="5">
        <v>19</v>
      </c>
      <c r="C3" s="20"/>
      <c r="D3" s="20"/>
      <c r="E3" s="20"/>
      <c r="F3" s="20"/>
      <c r="G3" s="20">
        <v>1</v>
      </c>
      <c r="H3" s="20" t="s">
        <v>131</v>
      </c>
      <c r="I3" s="20">
        <v>40</v>
      </c>
      <c r="J3">
        <v>138</v>
      </c>
    </row>
    <row r="4" spans="1:13" x14ac:dyDescent="0.25">
      <c r="A4" s="5">
        <v>3</v>
      </c>
      <c r="B4" s="5">
        <v>31</v>
      </c>
      <c r="C4" s="20"/>
      <c r="D4" s="20"/>
      <c r="E4" s="20"/>
      <c r="F4" s="20"/>
      <c r="G4" s="20">
        <v>1</v>
      </c>
      <c r="H4" s="20" t="s">
        <v>131</v>
      </c>
      <c r="I4" s="20">
        <v>40</v>
      </c>
      <c r="J4">
        <v>138</v>
      </c>
    </row>
    <row r="5" spans="1:13" x14ac:dyDescent="0.25">
      <c r="A5" s="5">
        <v>4</v>
      </c>
      <c r="B5" s="5">
        <v>32</v>
      </c>
      <c r="C5" s="20"/>
      <c r="D5" s="20"/>
      <c r="E5" s="20"/>
      <c r="F5" s="20"/>
      <c r="G5" s="20">
        <v>1</v>
      </c>
      <c r="H5" s="20" t="s">
        <v>131</v>
      </c>
      <c r="I5" s="20">
        <v>120</v>
      </c>
      <c r="J5">
        <v>138</v>
      </c>
    </row>
    <row r="6" spans="1:13" x14ac:dyDescent="0.25">
      <c r="A6" s="5">
        <v>5</v>
      </c>
      <c r="B6" s="5">
        <v>34</v>
      </c>
      <c r="C6" s="20"/>
      <c r="D6" s="20"/>
      <c r="E6" s="20"/>
      <c r="F6" s="20"/>
      <c r="G6" s="20">
        <v>1</v>
      </c>
      <c r="H6" s="20" t="s">
        <v>131</v>
      </c>
      <c r="I6" s="20">
        <v>50</v>
      </c>
      <c r="J6">
        <v>138</v>
      </c>
    </row>
    <row r="7" spans="1:13" x14ac:dyDescent="0.25">
      <c r="A7" s="5">
        <v>6</v>
      </c>
      <c r="B7" s="5">
        <v>36</v>
      </c>
      <c r="C7" s="20"/>
      <c r="D7" s="20"/>
      <c r="E7" s="20"/>
      <c r="F7" s="20"/>
      <c r="G7" s="20">
        <v>1</v>
      </c>
      <c r="H7" s="20" t="s">
        <v>131</v>
      </c>
      <c r="I7" s="20">
        <v>120</v>
      </c>
      <c r="J7">
        <v>138</v>
      </c>
    </row>
    <row r="8" spans="1:13" x14ac:dyDescent="0.25">
      <c r="A8" s="5">
        <v>7</v>
      </c>
      <c r="B8" s="5">
        <v>40</v>
      </c>
      <c r="G8" s="20">
        <v>1</v>
      </c>
      <c r="H8" t="s">
        <v>131</v>
      </c>
      <c r="I8">
        <v>40</v>
      </c>
      <c r="J8">
        <v>138</v>
      </c>
    </row>
    <row r="9" spans="1:13" x14ac:dyDescent="0.25">
      <c r="A9" s="5">
        <v>8</v>
      </c>
      <c r="B9" s="5">
        <v>46</v>
      </c>
      <c r="G9" s="20">
        <v>1</v>
      </c>
      <c r="H9" t="s">
        <v>131</v>
      </c>
      <c r="I9">
        <v>120</v>
      </c>
      <c r="J9">
        <v>138</v>
      </c>
    </row>
    <row r="10" spans="1:13" x14ac:dyDescent="0.25">
      <c r="A10" s="5">
        <v>9</v>
      </c>
      <c r="B10" s="5">
        <v>49</v>
      </c>
      <c r="G10" s="20">
        <v>1</v>
      </c>
      <c r="H10" t="s">
        <v>131</v>
      </c>
      <c r="I10">
        <v>300</v>
      </c>
      <c r="J10">
        <v>138</v>
      </c>
    </row>
    <row r="11" spans="1:13" x14ac:dyDescent="0.25">
      <c r="A11" s="5">
        <v>10</v>
      </c>
      <c r="B11" s="5">
        <v>54</v>
      </c>
      <c r="G11" s="20">
        <v>1</v>
      </c>
      <c r="H11" t="s">
        <v>131</v>
      </c>
      <c r="I11">
        <v>300</v>
      </c>
      <c r="J11" s="23">
        <v>138</v>
      </c>
      <c r="K11" s="23"/>
      <c r="L11" s="23"/>
      <c r="M11" s="23"/>
    </row>
    <row r="12" spans="1:13" x14ac:dyDescent="0.25">
      <c r="A12" s="5">
        <v>11</v>
      </c>
      <c r="B12" s="5">
        <v>59</v>
      </c>
      <c r="G12" s="20">
        <v>1</v>
      </c>
      <c r="H12" t="s">
        <v>131</v>
      </c>
      <c r="I12">
        <v>230</v>
      </c>
      <c r="J12" s="23">
        <v>138</v>
      </c>
      <c r="K12" s="23"/>
      <c r="L12" s="23"/>
      <c r="M12" s="23"/>
    </row>
    <row r="13" spans="1:13" x14ac:dyDescent="0.25">
      <c r="A13" s="5">
        <v>12</v>
      </c>
      <c r="B13" s="5">
        <v>65</v>
      </c>
      <c r="G13" s="34">
        <v>0</v>
      </c>
      <c r="H13" t="s">
        <v>131</v>
      </c>
      <c r="I13">
        <v>610</v>
      </c>
      <c r="J13" s="23">
        <v>345</v>
      </c>
      <c r="K13" s="23"/>
      <c r="L13" s="23"/>
      <c r="M13" s="23"/>
    </row>
    <row r="14" spans="1:13" x14ac:dyDescent="0.25">
      <c r="A14" s="5">
        <v>13</v>
      </c>
      <c r="B14" s="5">
        <v>70</v>
      </c>
      <c r="G14" s="20">
        <v>1</v>
      </c>
      <c r="H14" t="s">
        <v>131</v>
      </c>
      <c r="I14">
        <v>100</v>
      </c>
      <c r="J14">
        <v>138</v>
      </c>
    </row>
    <row r="15" spans="1:13" x14ac:dyDescent="0.25">
      <c r="A15" s="5">
        <v>14</v>
      </c>
      <c r="B15" s="5">
        <v>72</v>
      </c>
      <c r="G15" s="20">
        <v>1</v>
      </c>
      <c r="H15" t="s">
        <v>131</v>
      </c>
      <c r="I15">
        <v>40</v>
      </c>
      <c r="J15">
        <v>138</v>
      </c>
    </row>
    <row r="16" spans="1:13" x14ac:dyDescent="0.25">
      <c r="A16" s="5">
        <v>15</v>
      </c>
      <c r="B16" s="5">
        <v>73</v>
      </c>
      <c r="G16" s="20">
        <v>1</v>
      </c>
      <c r="H16" t="s">
        <v>131</v>
      </c>
      <c r="I16">
        <v>40</v>
      </c>
      <c r="J16">
        <v>138</v>
      </c>
    </row>
    <row r="17" spans="1:10" x14ac:dyDescent="0.25">
      <c r="A17" s="5">
        <v>16</v>
      </c>
      <c r="B17" s="5">
        <v>76</v>
      </c>
      <c r="G17" s="20">
        <v>1</v>
      </c>
      <c r="H17" t="s">
        <v>131</v>
      </c>
      <c r="I17">
        <v>120</v>
      </c>
      <c r="J17">
        <v>138</v>
      </c>
    </row>
    <row r="18" spans="1:10" x14ac:dyDescent="0.25">
      <c r="A18" s="5">
        <v>17</v>
      </c>
      <c r="B18" s="5">
        <v>77</v>
      </c>
      <c r="G18" s="20">
        <v>1</v>
      </c>
      <c r="H18" t="s">
        <v>131</v>
      </c>
      <c r="I18">
        <v>130</v>
      </c>
      <c r="J18">
        <v>138</v>
      </c>
    </row>
    <row r="19" spans="1:10" x14ac:dyDescent="0.25">
      <c r="A19" s="5">
        <v>18</v>
      </c>
      <c r="B19" s="5">
        <v>80</v>
      </c>
      <c r="G19" s="20">
        <v>1</v>
      </c>
      <c r="H19" t="s">
        <v>131</v>
      </c>
      <c r="I19">
        <v>340</v>
      </c>
      <c r="J19">
        <v>138</v>
      </c>
    </row>
    <row r="20" spans="1:10" x14ac:dyDescent="0.25">
      <c r="A20" s="5">
        <v>19</v>
      </c>
      <c r="B20" s="5">
        <v>85</v>
      </c>
      <c r="G20" s="20">
        <v>1</v>
      </c>
      <c r="H20" t="s">
        <v>131</v>
      </c>
      <c r="I20">
        <v>50</v>
      </c>
      <c r="J20">
        <v>138</v>
      </c>
    </row>
    <row r="21" spans="1:10" x14ac:dyDescent="0.25">
      <c r="A21" s="5">
        <v>20</v>
      </c>
      <c r="B21" s="5">
        <v>89</v>
      </c>
      <c r="G21" s="20">
        <v>1</v>
      </c>
      <c r="H21" t="s">
        <v>131</v>
      </c>
      <c r="I21">
        <v>230</v>
      </c>
      <c r="J21">
        <v>138</v>
      </c>
    </row>
    <row r="22" spans="1:10" x14ac:dyDescent="0.25">
      <c r="A22" s="5">
        <v>21</v>
      </c>
      <c r="B22" s="5">
        <v>90</v>
      </c>
      <c r="G22" s="20">
        <v>1</v>
      </c>
      <c r="H22" t="s">
        <v>131</v>
      </c>
      <c r="I22">
        <v>30</v>
      </c>
      <c r="J22">
        <v>138</v>
      </c>
    </row>
    <row r="23" spans="1:10" x14ac:dyDescent="0.25">
      <c r="A23" s="5">
        <v>22</v>
      </c>
      <c r="B23" s="5">
        <v>92</v>
      </c>
      <c r="G23" s="20">
        <v>1</v>
      </c>
      <c r="H23" t="s">
        <v>131</v>
      </c>
      <c r="I23">
        <v>340</v>
      </c>
      <c r="J23">
        <v>138</v>
      </c>
    </row>
    <row r="24" spans="1:10" x14ac:dyDescent="0.25">
      <c r="A24" s="5">
        <v>23</v>
      </c>
      <c r="B24" s="5">
        <v>100</v>
      </c>
      <c r="G24" s="20">
        <v>1</v>
      </c>
      <c r="H24" t="s">
        <v>131</v>
      </c>
      <c r="I24">
        <v>350</v>
      </c>
      <c r="J24">
        <v>138</v>
      </c>
    </row>
    <row r="25" spans="1:10" x14ac:dyDescent="0.25">
      <c r="A25" s="5">
        <v>24</v>
      </c>
      <c r="B25" s="5">
        <v>105</v>
      </c>
      <c r="G25" s="20">
        <v>1</v>
      </c>
      <c r="H25" t="s">
        <v>131</v>
      </c>
      <c r="I25">
        <v>120</v>
      </c>
      <c r="J25">
        <v>138</v>
      </c>
    </row>
    <row r="26" spans="1:10" x14ac:dyDescent="0.25">
      <c r="A26" s="5">
        <v>25</v>
      </c>
      <c r="B26" s="5">
        <v>107</v>
      </c>
      <c r="G26" s="20">
        <v>1</v>
      </c>
      <c r="H26" t="s">
        <v>131</v>
      </c>
      <c r="I26">
        <v>30</v>
      </c>
      <c r="J26">
        <v>138</v>
      </c>
    </row>
    <row r="27" spans="1:10" x14ac:dyDescent="0.25">
      <c r="A27" s="5">
        <v>26</v>
      </c>
      <c r="B27" s="5">
        <v>110</v>
      </c>
      <c r="G27" s="20">
        <v>1</v>
      </c>
      <c r="H27" t="s">
        <v>131</v>
      </c>
      <c r="I27">
        <v>70</v>
      </c>
      <c r="J27">
        <v>138</v>
      </c>
    </row>
    <row r="28" spans="1:10" x14ac:dyDescent="0.25">
      <c r="A28" s="5">
        <v>27</v>
      </c>
      <c r="B28" s="5">
        <v>112</v>
      </c>
      <c r="G28" s="20">
        <v>1</v>
      </c>
      <c r="H28" t="s">
        <v>131</v>
      </c>
      <c r="I28">
        <v>120</v>
      </c>
      <c r="J28">
        <v>138</v>
      </c>
    </row>
    <row r="29" spans="1:10" x14ac:dyDescent="0.25">
      <c r="A29" s="5">
        <v>28</v>
      </c>
      <c r="B29" s="5">
        <v>113</v>
      </c>
      <c r="G29" s="20">
        <v>1</v>
      </c>
      <c r="H29" t="s">
        <v>131</v>
      </c>
      <c r="I29">
        <v>120</v>
      </c>
      <c r="J29">
        <v>138</v>
      </c>
    </row>
    <row r="30" spans="1:10" x14ac:dyDescent="0.25">
      <c r="A30">
        <v>29</v>
      </c>
      <c r="B30">
        <v>12</v>
      </c>
      <c r="G30" s="20">
        <v>1</v>
      </c>
      <c r="H30" t="s">
        <v>132</v>
      </c>
      <c r="I30">
        <v>360</v>
      </c>
      <c r="J30">
        <v>138</v>
      </c>
    </row>
    <row r="31" spans="1:10" x14ac:dyDescent="0.25">
      <c r="A31">
        <v>30</v>
      </c>
      <c r="B31">
        <v>19</v>
      </c>
      <c r="G31" s="20">
        <v>1</v>
      </c>
      <c r="H31" t="s">
        <v>132</v>
      </c>
      <c r="I31">
        <v>40</v>
      </c>
      <c r="J31">
        <v>138</v>
      </c>
    </row>
    <row r="32" spans="1:10" x14ac:dyDescent="0.25">
      <c r="A32">
        <v>31</v>
      </c>
      <c r="B32">
        <v>31</v>
      </c>
      <c r="G32" s="20">
        <v>1</v>
      </c>
      <c r="H32" t="s">
        <v>132</v>
      </c>
      <c r="I32">
        <v>40</v>
      </c>
      <c r="J32">
        <v>138</v>
      </c>
    </row>
    <row r="33" spans="1:10" x14ac:dyDescent="0.25">
      <c r="A33">
        <v>32</v>
      </c>
      <c r="B33">
        <v>32</v>
      </c>
      <c r="G33" s="20">
        <v>1</v>
      </c>
      <c r="H33" t="s">
        <v>132</v>
      </c>
      <c r="I33">
        <v>120</v>
      </c>
      <c r="J33">
        <v>138</v>
      </c>
    </row>
    <row r="34" spans="1:10" x14ac:dyDescent="0.25">
      <c r="A34">
        <v>33</v>
      </c>
      <c r="B34">
        <v>34</v>
      </c>
      <c r="G34" s="20">
        <v>1</v>
      </c>
      <c r="H34" t="s">
        <v>132</v>
      </c>
      <c r="I34">
        <v>50</v>
      </c>
      <c r="J34">
        <v>138</v>
      </c>
    </row>
    <row r="35" spans="1:10" x14ac:dyDescent="0.25">
      <c r="A35">
        <v>34</v>
      </c>
      <c r="B35">
        <v>36</v>
      </c>
      <c r="G35" s="20">
        <v>1</v>
      </c>
      <c r="H35" t="s">
        <v>132</v>
      </c>
      <c r="I35">
        <v>120</v>
      </c>
      <c r="J35">
        <v>138</v>
      </c>
    </row>
    <row r="36" spans="1:10" x14ac:dyDescent="0.25">
      <c r="A36">
        <v>35</v>
      </c>
      <c r="B36">
        <v>40</v>
      </c>
      <c r="G36" s="20">
        <v>1</v>
      </c>
      <c r="H36" t="s">
        <v>132</v>
      </c>
      <c r="I36">
        <v>40</v>
      </c>
      <c r="J36">
        <v>138</v>
      </c>
    </row>
    <row r="37" spans="1:10" x14ac:dyDescent="0.25">
      <c r="A37">
        <v>36</v>
      </c>
      <c r="B37">
        <v>46</v>
      </c>
      <c r="G37" s="20">
        <v>1</v>
      </c>
      <c r="H37" t="s">
        <v>132</v>
      </c>
      <c r="I37">
        <v>120</v>
      </c>
      <c r="J37">
        <v>138</v>
      </c>
    </row>
    <row r="38" spans="1:10" x14ac:dyDescent="0.25">
      <c r="A38">
        <v>37</v>
      </c>
      <c r="B38">
        <v>49</v>
      </c>
      <c r="G38" s="20">
        <v>1</v>
      </c>
      <c r="H38" t="s">
        <v>132</v>
      </c>
      <c r="I38">
        <v>300</v>
      </c>
      <c r="J38">
        <v>138</v>
      </c>
    </row>
    <row r="39" spans="1:10" x14ac:dyDescent="0.25">
      <c r="A39">
        <v>38</v>
      </c>
      <c r="B39">
        <v>54</v>
      </c>
      <c r="G39" s="20">
        <v>1</v>
      </c>
      <c r="H39" t="s">
        <v>132</v>
      </c>
      <c r="I39">
        <v>300</v>
      </c>
      <c r="J39">
        <v>138</v>
      </c>
    </row>
    <row r="40" spans="1:10" x14ac:dyDescent="0.25">
      <c r="A40">
        <v>39</v>
      </c>
      <c r="B40">
        <v>59</v>
      </c>
      <c r="G40" s="20">
        <v>1</v>
      </c>
      <c r="H40" t="s">
        <v>132</v>
      </c>
      <c r="I40">
        <v>230</v>
      </c>
      <c r="J40">
        <v>138</v>
      </c>
    </row>
    <row r="41" spans="1:10" x14ac:dyDescent="0.25">
      <c r="A41">
        <v>40</v>
      </c>
      <c r="B41">
        <v>65</v>
      </c>
      <c r="G41" s="20">
        <v>1</v>
      </c>
      <c r="H41" t="s">
        <v>132</v>
      </c>
      <c r="I41">
        <v>610</v>
      </c>
      <c r="J41">
        <v>345</v>
      </c>
    </row>
    <row r="42" spans="1:10" x14ac:dyDescent="0.25">
      <c r="A42">
        <v>41</v>
      </c>
      <c r="B42">
        <v>70</v>
      </c>
      <c r="G42" s="20">
        <v>1</v>
      </c>
      <c r="H42" t="s">
        <v>132</v>
      </c>
      <c r="I42">
        <v>100</v>
      </c>
      <c r="J42">
        <v>138</v>
      </c>
    </row>
    <row r="43" spans="1:10" x14ac:dyDescent="0.25">
      <c r="A43">
        <v>42</v>
      </c>
      <c r="B43">
        <v>72</v>
      </c>
      <c r="G43" s="20">
        <v>1</v>
      </c>
      <c r="H43" t="s">
        <v>132</v>
      </c>
      <c r="I43">
        <v>40</v>
      </c>
      <c r="J43">
        <v>138</v>
      </c>
    </row>
    <row r="44" spans="1:10" x14ac:dyDescent="0.25">
      <c r="A44">
        <v>43</v>
      </c>
      <c r="B44">
        <v>73</v>
      </c>
      <c r="G44" s="20">
        <v>1</v>
      </c>
      <c r="H44" t="s">
        <v>132</v>
      </c>
      <c r="I44">
        <v>40</v>
      </c>
      <c r="J44">
        <v>138</v>
      </c>
    </row>
    <row r="45" spans="1:10" x14ac:dyDescent="0.25">
      <c r="A45">
        <v>44</v>
      </c>
      <c r="B45">
        <v>76</v>
      </c>
      <c r="G45" s="20">
        <v>1</v>
      </c>
      <c r="H45" t="s">
        <v>132</v>
      </c>
      <c r="I45">
        <v>120</v>
      </c>
      <c r="J45">
        <v>138</v>
      </c>
    </row>
    <row r="46" spans="1:10" x14ac:dyDescent="0.25">
      <c r="A46">
        <v>45</v>
      </c>
      <c r="B46">
        <v>77</v>
      </c>
      <c r="G46" s="20">
        <v>1</v>
      </c>
      <c r="H46" t="s">
        <v>132</v>
      </c>
      <c r="I46">
        <v>130</v>
      </c>
      <c r="J46">
        <v>138</v>
      </c>
    </row>
    <row r="47" spans="1:10" x14ac:dyDescent="0.25">
      <c r="A47">
        <v>46</v>
      </c>
      <c r="B47">
        <v>80</v>
      </c>
      <c r="G47" s="20">
        <v>1</v>
      </c>
      <c r="H47" t="s">
        <v>132</v>
      </c>
      <c r="I47">
        <v>340</v>
      </c>
      <c r="J47">
        <v>138</v>
      </c>
    </row>
    <row r="48" spans="1:10" x14ac:dyDescent="0.25">
      <c r="A48">
        <v>47</v>
      </c>
      <c r="B48">
        <v>85</v>
      </c>
      <c r="G48" s="20">
        <v>1</v>
      </c>
      <c r="H48" t="s">
        <v>132</v>
      </c>
      <c r="I48">
        <v>50</v>
      </c>
      <c r="J48">
        <v>138</v>
      </c>
    </row>
    <row r="49" spans="1:10" x14ac:dyDescent="0.25">
      <c r="A49">
        <v>48</v>
      </c>
      <c r="B49">
        <v>89</v>
      </c>
      <c r="G49" s="20">
        <v>1</v>
      </c>
      <c r="H49" t="s">
        <v>132</v>
      </c>
      <c r="I49">
        <v>230</v>
      </c>
      <c r="J49">
        <v>138</v>
      </c>
    </row>
    <row r="50" spans="1:10" x14ac:dyDescent="0.25">
      <c r="A50">
        <v>49</v>
      </c>
      <c r="B50">
        <v>90</v>
      </c>
      <c r="G50" s="20">
        <v>1</v>
      </c>
      <c r="H50" t="s">
        <v>132</v>
      </c>
      <c r="I50">
        <v>30</v>
      </c>
      <c r="J50">
        <v>138</v>
      </c>
    </row>
    <row r="51" spans="1:10" x14ac:dyDescent="0.25">
      <c r="A51">
        <v>50</v>
      </c>
      <c r="B51">
        <v>92</v>
      </c>
      <c r="G51" s="20">
        <v>1</v>
      </c>
      <c r="H51" t="s">
        <v>132</v>
      </c>
      <c r="I51">
        <v>340</v>
      </c>
      <c r="J51">
        <v>138</v>
      </c>
    </row>
    <row r="52" spans="1:10" x14ac:dyDescent="0.25">
      <c r="A52">
        <v>51</v>
      </c>
      <c r="B52">
        <v>100</v>
      </c>
      <c r="G52" s="20">
        <v>1</v>
      </c>
      <c r="H52" t="s">
        <v>132</v>
      </c>
      <c r="I52">
        <v>350</v>
      </c>
      <c r="J52">
        <v>138</v>
      </c>
    </row>
    <row r="53" spans="1:10" x14ac:dyDescent="0.25">
      <c r="A53">
        <v>52</v>
      </c>
      <c r="B53">
        <v>105</v>
      </c>
      <c r="G53" s="20">
        <v>1</v>
      </c>
      <c r="H53" t="s">
        <v>132</v>
      </c>
      <c r="I53">
        <v>120</v>
      </c>
      <c r="J53">
        <v>138</v>
      </c>
    </row>
    <row r="54" spans="1:10" x14ac:dyDescent="0.25">
      <c r="A54">
        <v>53</v>
      </c>
      <c r="B54">
        <v>107</v>
      </c>
      <c r="G54" s="20">
        <v>1</v>
      </c>
      <c r="H54" t="s">
        <v>132</v>
      </c>
      <c r="I54">
        <v>30</v>
      </c>
      <c r="J54">
        <v>138</v>
      </c>
    </row>
    <row r="55" spans="1:10" x14ac:dyDescent="0.25">
      <c r="A55">
        <v>54</v>
      </c>
      <c r="B55">
        <v>110</v>
      </c>
      <c r="G55" s="20">
        <v>1</v>
      </c>
      <c r="H55" t="s">
        <v>132</v>
      </c>
      <c r="I55">
        <v>70</v>
      </c>
      <c r="J55">
        <v>138</v>
      </c>
    </row>
    <row r="56" spans="1:10" x14ac:dyDescent="0.25">
      <c r="A56">
        <v>55</v>
      </c>
      <c r="B56">
        <v>112</v>
      </c>
      <c r="G56" s="20">
        <v>1</v>
      </c>
      <c r="H56" t="s">
        <v>132</v>
      </c>
      <c r="I56">
        <v>120</v>
      </c>
      <c r="J56">
        <v>138</v>
      </c>
    </row>
    <row r="57" spans="1:10" x14ac:dyDescent="0.25">
      <c r="A57">
        <v>56</v>
      </c>
      <c r="B57">
        <v>113</v>
      </c>
      <c r="G57" s="20">
        <v>1</v>
      </c>
      <c r="H57" t="s">
        <v>132</v>
      </c>
      <c r="I57">
        <v>120</v>
      </c>
      <c r="J57">
        <v>138</v>
      </c>
    </row>
    <row r="58" spans="1:10" x14ac:dyDescent="0.25">
      <c r="A58">
        <v>57</v>
      </c>
      <c r="B58">
        <v>12</v>
      </c>
      <c r="G58" s="20">
        <v>1</v>
      </c>
      <c r="H58" t="s">
        <v>133</v>
      </c>
      <c r="I58">
        <v>360</v>
      </c>
      <c r="J58">
        <v>138</v>
      </c>
    </row>
    <row r="59" spans="1:10" x14ac:dyDescent="0.25">
      <c r="A59">
        <v>58</v>
      </c>
      <c r="B59">
        <v>19</v>
      </c>
      <c r="G59" s="20">
        <v>1</v>
      </c>
      <c r="H59" t="s">
        <v>133</v>
      </c>
      <c r="I59">
        <v>40</v>
      </c>
      <c r="J59">
        <v>138</v>
      </c>
    </row>
    <row r="60" spans="1:10" x14ac:dyDescent="0.25">
      <c r="A60">
        <v>59</v>
      </c>
      <c r="B60">
        <v>31</v>
      </c>
      <c r="G60" s="20">
        <v>1</v>
      </c>
      <c r="H60" t="s">
        <v>133</v>
      </c>
      <c r="I60">
        <v>40</v>
      </c>
      <c r="J60">
        <v>138</v>
      </c>
    </row>
    <row r="61" spans="1:10" x14ac:dyDescent="0.25">
      <c r="A61">
        <v>60</v>
      </c>
      <c r="B61">
        <v>32</v>
      </c>
      <c r="G61" s="20">
        <v>1</v>
      </c>
      <c r="H61" t="s">
        <v>133</v>
      </c>
      <c r="I61">
        <v>120</v>
      </c>
      <c r="J61">
        <v>138</v>
      </c>
    </row>
    <row r="62" spans="1:10" x14ac:dyDescent="0.25">
      <c r="A62">
        <v>61</v>
      </c>
      <c r="B62">
        <v>34</v>
      </c>
      <c r="G62" s="20">
        <v>1</v>
      </c>
      <c r="H62" t="s">
        <v>133</v>
      </c>
      <c r="I62">
        <v>50</v>
      </c>
      <c r="J62">
        <v>138</v>
      </c>
    </row>
    <row r="63" spans="1:10" x14ac:dyDescent="0.25">
      <c r="A63">
        <v>62</v>
      </c>
      <c r="B63">
        <v>36</v>
      </c>
      <c r="G63" s="20">
        <v>1</v>
      </c>
      <c r="H63" t="s">
        <v>133</v>
      </c>
      <c r="I63">
        <v>120</v>
      </c>
      <c r="J63">
        <v>138</v>
      </c>
    </row>
    <row r="64" spans="1:10" x14ac:dyDescent="0.25">
      <c r="A64">
        <v>63</v>
      </c>
      <c r="B64">
        <v>40</v>
      </c>
      <c r="G64" s="20">
        <v>1</v>
      </c>
      <c r="H64" t="s">
        <v>133</v>
      </c>
      <c r="I64">
        <v>40</v>
      </c>
      <c r="J64">
        <v>138</v>
      </c>
    </row>
    <row r="65" spans="1:10" x14ac:dyDescent="0.25">
      <c r="A65">
        <v>64</v>
      </c>
      <c r="B65">
        <v>46</v>
      </c>
      <c r="G65" s="20">
        <v>1</v>
      </c>
      <c r="H65" t="s">
        <v>133</v>
      </c>
      <c r="I65">
        <v>120</v>
      </c>
      <c r="J65">
        <v>138</v>
      </c>
    </row>
    <row r="66" spans="1:10" x14ac:dyDescent="0.25">
      <c r="A66">
        <v>65</v>
      </c>
      <c r="B66">
        <v>49</v>
      </c>
      <c r="G66" s="20">
        <v>1</v>
      </c>
      <c r="H66" t="s">
        <v>133</v>
      </c>
      <c r="I66">
        <v>300</v>
      </c>
      <c r="J66">
        <v>138</v>
      </c>
    </row>
    <row r="67" spans="1:10" x14ac:dyDescent="0.25">
      <c r="A67">
        <v>66</v>
      </c>
      <c r="B67">
        <v>54</v>
      </c>
      <c r="G67" s="20">
        <v>1</v>
      </c>
      <c r="H67" t="s">
        <v>133</v>
      </c>
      <c r="I67">
        <v>300</v>
      </c>
      <c r="J67">
        <v>138</v>
      </c>
    </row>
    <row r="68" spans="1:10" x14ac:dyDescent="0.25">
      <c r="A68">
        <v>67</v>
      </c>
      <c r="B68">
        <v>59</v>
      </c>
      <c r="G68" s="20">
        <v>1</v>
      </c>
      <c r="H68" t="s">
        <v>133</v>
      </c>
      <c r="I68">
        <v>230</v>
      </c>
      <c r="J68">
        <v>138</v>
      </c>
    </row>
    <row r="69" spans="1:10" x14ac:dyDescent="0.25">
      <c r="A69">
        <f>A68+1</f>
        <v>68</v>
      </c>
      <c r="B69">
        <v>70</v>
      </c>
      <c r="G69" s="20">
        <v>1</v>
      </c>
      <c r="H69" t="s">
        <v>133</v>
      </c>
      <c r="I69">
        <v>100</v>
      </c>
      <c r="J69">
        <v>138</v>
      </c>
    </row>
    <row r="70" spans="1:10" x14ac:dyDescent="0.25">
      <c r="A70">
        <f t="shared" ref="A70:A84" si="0">A69+1</f>
        <v>69</v>
      </c>
      <c r="B70">
        <v>72</v>
      </c>
      <c r="G70" s="20">
        <v>1</v>
      </c>
      <c r="H70" t="s">
        <v>133</v>
      </c>
      <c r="I70">
        <v>40</v>
      </c>
      <c r="J70">
        <v>138</v>
      </c>
    </row>
    <row r="71" spans="1:10" x14ac:dyDescent="0.25">
      <c r="A71">
        <f t="shared" si="0"/>
        <v>70</v>
      </c>
      <c r="B71">
        <v>73</v>
      </c>
      <c r="G71" s="20">
        <v>1</v>
      </c>
      <c r="H71" t="s">
        <v>133</v>
      </c>
      <c r="I71">
        <v>40</v>
      </c>
      <c r="J71">
        <v>138</v>
      </c>
    </row>
    <row r="72" spans="1:10" x14ac:dyDescent="0.25">
      <c r="A72">
        <f t="shared" si="0"/>
        <v>71</v>
      </c>
      <c r="B72">
        <v>76</v>
      </c>
      <c r="G72" s="20">
        <v>1</v>
      </c>
      <c r="H72" t="s">
        <v>133</v>
      </c>
      <c r="I72">
        <v>120</v>
      </c>
      <c r="J72">
        <v>138</v>
      </c>
    </row>
    <row r="73" spans="1:10" x14ac:dyDescent="0.25">
      <c r="A73">
        <f t="shared" si="0"/>
        <v>72</v>
      </c>
      <c r="B73">
        <v>77</v>
      </c>
      <c r="G73" s="20">
        <v>1</v>
      </c>
      <c r="H73" t="s">
        <v>133</v>
      </c>
      <c r="I73">
        <v>130</v>
      </c>
      <c r="J73">
        <v>138</v>
      </c>
    </row>
    <row r="74" spans="1:10" x14ac:dyDescent="0.25">
      <c r="A74">
        <f t="shared" si="0"/>
        <v>73</v>
      </c>
      <c r="B74">
        <v>80</v>
      </c>
      <c r="G74" s="20">
        <v>1</v>
      </c>
      <c r="H74" t="s">
        <v>133</v>
      </c>
      <c r="I74">
        <v>340</v>
      </c>
      <c r="J74">
        <v>138</v>
      </c>
    </row>
    <row r="75" spans="1:10" x14ac:dyDescent="0.25">
      <c r="A75">
        <f t="shared" si="0"/>
        <v>74</v>
      </c>
      <c r="B75">
        <v>85</v>
      </c>
      <c r="G75" s="20">
        <v>1</v>
      </c>
      <c r="H75" t="s">
        <v>133</v>
      </c>
      <c r="I75">
        <v>50</v>
      </c>
      <c r="J75">
        <v>138</v>
      </c>
    </row>
    <row r="76" spans="1:10" x14ac:dyDescent="0.25">
      <c r="A76">
        <f t="shared" si="0"/>
        <v>75</v>
      </c>
      <c r="B76">
        <v>89</v>
      </c>
      <c r="G76" s="20">
        <v>1</v>
      </c>
      <c r="H76" t="s">
        <v>133</v>
      </c>
      <c r="I76">
        <v>230</v>
      </c>
      <c r="J76">
        <v>138</v>
      </c>
    </row>
    <row r="77" spans="1:10" x14ac:dyDescent="0.25">
      <c r="A77">
        <f t="shared" si="0"/>
        <v>76</v>
      </c>
      <c r="B77">
        <v>90</v>
      </c>
      <c r="G77" s="20">
        <v>1</v>
      </c>
      <c r="H77" t="s">
        <v>133</v>
      </c>
      <c r="I77">
        <v>30</v>
      </c>
      <c r="J77">
        <v>138</v>
      </c>
    </row>
    <row r="78" spans="1:10" x14ac:dyDescent="0.25">
      <c r="A78">
        <f t="shared" si="0"/>
        <v>77</v>
      </c>
      <c r="B78">
        <v>92</v>
      </c>
      <c r="G78" s="20">
        <v>1</v>
      </c>
      <c r="H78" t="s">
        <v>133</v>
      </c>
      <c r="I78">
        <v>340</v>
      </c>
      <c r="J78">
        <v>138</v>
      </c>
    </row>
    <row r="79" spans="1:10" x14ac:dyDescent="0.25">
      <c r="A79">
        <f t="shared" si="0"/>
        <v>78</v>
      </c>
      <c r="B79">
        <v>100</v>
      </c>
      <c r="G79" s="20">
        <v>1</v>
      </c>
      <c r="H79" t="s">
        <v>133</v>
      </c>
      <c r="I79">
        <v>350</v>
      </c>
      <c r="J79">
        <v>138</v>
      </c>
    </row>
    <row r="80" spans="1:10" x14ac:dyDescent="0.25">
      <c r="A80">
        <f t="shared" si="0"/>
        <v>79</v>
      </c>
      <c r="B80">
        <v>105</v>
      </c>
      <c r="G80" s="20">
        <v>1</v>
      </c>
      <c r="H80" t="s">
        <v>133</v>
      </c>
      <c r="I80">
        <v>120</v>
      </c>
      <c r="J80">
        <v>138</v>
      </c>
    </row>
    <row r="81" spans="1:10" x14ac:dyDescent="0.25">
      <c r="A81">
        <f t="shared" si="0"/>
        <v>80</v>
      </c>
      <c r="B81">
        <v>107</v>
      </c>
      <c r="G81" s="20">
        <v>1</v>
      </c>
      <c r="H81" t="s">
        <v>133</v>
      </c>
      <c r="I81">
        <v>30</v>
      </c>
      <c r="J81">
        <v>138</v>
      </c>
    </row>
    <row r="82" spans="1:10" x14ac:dyDescent="0.25">
      <c r="A82">
        <f t="shared" si="0"/>
        <v>81</v>
      </c>
      <c r="B82">
        <v>110</v>
      </c>
      <c r="G82" s="20">
        <v>1</v>
      </c>
      <c r="H82" t="s">
        <v>133</v>
      </c>
      <c r="I82">
        <v>70</v>
      </c>
      <c r="J82">
        <v>138</v>
      </c>
    </row>
    <row r="83" spans="1:10" x14ac:dyDescent="0.25">
      <c r="A83">
        <f t="shared" si="0"/>
        <v>82</v>
      </c>
      <c r="B83">
        <v>112</v>
      </c>
      <c r="G83" s="20">
        <v>1</v>
      </c>
      <c r="H83" t="s">
        <v>133</v>
      </c>
      <c r="I83">
        <v>120</v>
      </c>
      <c r="J83">
        <v>138</v>
      </c>
    </row>
    <row r="84" spans="1:10" x14ac:dyDescent="0.25">
      <c r="A84">
        <f t="shared" si="0"/>
        <v>83</v>
      </c>
      <c r="B84">
        <v>113</v>
      </c>
      <c r="G84" s="20">
        <v>1</v>
      </c>
      <c r="H84" t="s">
        <v>133</v>
      </c>
      <c r="I84">
        <v>120</v>
      </c>
      <c r="J84">
        <v>138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4"/>
  <sheetViews>
    <sheetView workbookViewId="0">
      <selection activeCell="D1" sqref="D1"/>
    </sheetView>
  </sheetViews>
  <sheetFormatPr defaultRowHeight="13.2" x14ac:dyDescent="0.25"/>
  <cols>
    <col min="1" max="1" width="4.33203125" customWidth="1"/>
    <col min="2" max="2" width="7.88671875" customWidth="1"/>
    <col min="3" max="3" width="7.44140625" customWidth="1"/>
  </cols>
  <sheetData>
    <row r="1" spans="1:3" x14ac:dyDescent="0.25">
      <c r="A1" t="s">
        <v>121</v>
      </c>
      <c r="B1" t="s">
        <v>122</v>
      </c>
      <c r="C1" t="s">
        <v>123</v>
      </c>
    </row>
    <row r="2" spans="1:3" ht="14.4" x14ac:dyDescent="0.3">
      <c r="A2" s="30">
        <v>1</v>
      </c>
      <c r="B2">
        <v>0.99422999999999995</v>
      </c>
      <c r="C2">
        <v>-28.716999999999999</v>
      </c>
    </row>
    <row r="3" spans="1:3" ht="14.4" x14ac:dyDescent="0.3">
      <c r="A3" s="30">
        <v>2</v>
      </c>
      <c r="B3">
        <v>1.00752</v>
      </c>
      <c r="C3">
        <v>-27.120899999999999</v>
      </c>
    </row>
    <row r="4" spans="1:3" ht="14.4" x14ac:dyDescent="0.3">
      <c r="A4" s="30">
        <v>3</v>
      </c>
      <c r="B4">
        <v>0.99875999999999998</v>
      </c>
      <c r="C4">
        <v>-28.126799999999999</v>
      </c>
    </row>
    <row r="5" spans="1:3" ht="14.4" x14ac:dyDescent="0.3">
      <c r="A5" s="30">
        <v>4</v>
      </c>
      <c r="B5">
        <v>1.01048</v>
      </c>
      <c r="C5">
        <v>-26.148900000000001</v>
      </c>
    </row>
    <row r="6" spans="1:3" ht="14.4" x14ac:dyDescent="0.3">
      <c r="A6" s="30">
        <v>5</v>
      </c>
      <c r="B6">
        <v>1.01183</v>
      </c>
      <c r="C6">
        <v>-26.002600000000001</v>
      </c>
    </row>
    <row r="7" spans="1:3" ht="14.4" x14ac:dyDescent="0.3">
      <c r="A7" s="30">
        <v>6</v>
      </c>
      <c r="B7">
        <v>1.00759</v>
      </c>
      <c r="C7">
        <v>-26.703900000000001</v>
      </c>
    </row>
    <row r="8" spans="1:3" ht="14.4" x14ac:dyDescent="0.3">
      <c r="A8" s="30">
        <v>7</v>
      </c>
      <c r="B8">
        <v>1.0131300000000001</v>
      </c>
      <c r="C8">
        <v>-26.386900000000001</v>
      </c>
    </row>
    <row r="9" spans="1:3" ht="14.4" x14ac:dyDescent="0.3">
      <c r="A9" s="30">
        <v>8</v>
      </c>
      <c r="B9">
        <v>0.98236999999999997</v>
      </c>
      <c r="C9">
        <v>-25.996600000000001</v>
      </c>
    </row>
    <row r="10" spans="1:3" ht="14.4" x14ac:dyDescent="0.3">
      <c r="A10" s="30">
        <v>11</v>
      </c>
      <c r="B10">
        <v>1.0114700000000001</v>
      </c>
      <c r="C10">
        <v>-26.289899999999999</v>
      </c>
    </row>
    <row r="11" spans="1:3" ht="14.4" x14ac:dyDescent="0.3">
      <c r="A11" s="30">
        <v>12</v>
      </c>
      <c r="B11">
        <v>1.0248600000000001</v>
      </c>
      <c r="C11">
        <v>-25.517800000000001</v>
      </c>
    </row>
    <row r="12" spans="1:3" ht="14.4" x14ac:dyDescent="0.3">
      <c r="A12" s="30">
        <v>13</v>
      </c>
      <c r="B12">
        <v>0.99438000000000004</v>
      </c>
      <c r="C12">
        <v>-26.8993</v>
      </c>
    </row>
    <row r="13" spans="1:3" ht="14.4" x14ac:dyDescent="0.3">
      <c r="A13" s="30">
        <v>14</v>
      </c>
      <c r="B13">
        <v>1.0163899999999999</v>
      </c>
      <c r="C13">
        <v>-25.682200000000002</v>
      </c>
    </row>
    <row r="14" spans="1:3" ht="14.4" x14ac:dyDescent="0.3">
      <c r="A14" s="30">
        <v>15</v>
      </c>
      <c r="B14">
        <v>0.99721000000000004</v>
      </c>
      <c r="C14">
        <v>-24.425799999999999</v>
      </c>
    </row>
    <row r="15" spans="1:3" ht="14.4" x14ac:dyDescent="0.3">
      <c r="A15" s="30">
        <v>16</v>
      </c>
      <c r="B15">
        <v>1.01559</v>
      </c>
      <c r="C15">
        <v>-25.479199999999999</v>
      </c>
    </row>
    <row r="16" spans="1:3" ht="14.4" x14ac:dyDescent="0.3">
      <c r="A16" s="30">
        <v>17</v>
      </c>
      <c r="B16">
        <v>1.02105</v>
      </c>
      <c r="C16">
        <v>-22.9344</v>
      </c>
    </row>
    <row r="17" spans="1:3" ht="14.4" x14ac:dyDescent="0.3">
      <c r="A17" s="30">
        <v>18</v>
      </c>
      <c r="B17">
        <v>0.99429000000000001</v>
      </c>
      <c r="C17">
        <v>-24.274799999999999</v>
      </c>
    </row>
    <row r="18" spans="1:3" ht="14.4" x14ac:dyDescent="0.3">
      <c r="A18" s="30">
        <v>19</v>
      </c>
      <c r="B18">
        <v>0.99336999999999998</v>
      </c>
      <c r="C18">
        <v>-24.042899999999999</v>
      </c>
    </row>
    <row r="19" spans="1:3" ht="14.4" x14ac:dyDescent="0.3">
      <c r="A19" s="30">
        <v>20</v>
      </c>
      <c r="B19">
        <v>0.98653999999999997</v>
      </c>
      <c r="C19">
        <v>-24.8291</v>
      </c>
    </row>
    <row r="20" spans="1:3" ht="14.4" x14ac:dyDescent="0.3">
      <c r="A20" s="30">
        <v>21</v>
      </c>
      <c r="B20">
        <v>0.98580000000000001</v>
      </c>
      <c r="C20">
        <v>-24.455400000000001</v>
      </c>
    </row>
    <row r="21" spans="1:3" ht="14.4" x14ac:dyDescent="0.3">
      <c r="A21" s="30">
        <v>22</v>
      </c>
      <c r="B21">
        <v>0.99448999999999999</v>
      </c>
      <c r="C21">
        <v>-23.265699999999999</v>
      </c>
    </row>
    <row r="22" spans="1:3" ht="14.4" x14ac:dyDescent="0.3">
      <c r="A22" s="30">
        <v>23</v>
      </c>
      <c r="B22">
        <v>1.01728</v>
      </c>
      <c r="C22">
        <v>-20.459</v>
      </c>
    </row>
    <row r="23" spans="1:3" ht="14.4" x14ac:dyDescent="0.3">
      <c r="A23" s="30">
        <v>24</v>
      </c>
      <c r="B23">
        <v>1.0215799999999999</v>
      </c>
      <c r="C23">
        <v>-16.678000000000001</v>
      </c>
    </row>
    <row r="24" spans="1:3" ht="14.4" x14ac:dyDescent="0.3">
      <c r="A24" s="30">
        <v>25</v>
      </c>
      <c r="B24">
        <v>1.0277099999999999</v>
      </c>
      <c r="C24">
        <v>-22.538499999999999</v>
      </c>
    </row>
    <row r="25" spans="1:3" ht="14.4" x14ac:dyDescent="0.3">
      <c r="A25" s="30">
        <v>26</v>
      </c>
      <c r="B25">
        <v>1.0075700000000001</v>
      </c>
      <c r="C25">
        <v>-22.539100000000001</v>
      </c>
    </row>
    <row r="26" spans="1:3" ht="14.4" x14ac:dyDescent="0.3">
      <c r="A26" s="30">
        <v>27</v>
      </c>
      <c r="B26">
        <v>1.0058800000000001</v>
      </c>
      <c r="C26">
        <v>-25.3307</v>
      </c>
    </row>
    <row r="27" spans="1:3" ht="14.4" x14ac:dyDescent="0.3">
      <c r="A27" s="30">
        <v>28</v>
      </c>
      <c r="B27">
        <v>0.99665000000000004</v>
      </c>
      <c r="C27">
        <v>-25.817799999999998</v>
      </c>
    </row>
    <row r="28" spans="1:3" ht="14.4" x14ac:dyDescent="0.3">
      <c r="A28" s="30">
        <v>29</v>
      </c>
      <c r="B28">
        <v>0.99541000000000002</v>
      </c>
      <c r="C28">
        <v>-25.436299999999999</v>
      </c>
    </row>
    <row r="29" spans="1:3" ht="14.4" x14ac:dyDescent="0.3">
      <c r="A29" s="30">
        <v>30</v>
      </c>
      <c r="B29">
        <v>0.98189000000000004</v>
      </c>
      <c r="C29">
        <v>-22.927900000000001</v>
      </c>
    </row>
    <row r="30" spans="1:3" ht="14.4" x14ac:dyDescent="0.3">
      <c r="A30" s="30">
        <v>31</v>
      </c>
      <c r="B30">
        <v>0.99885000000000002</v>
      </c>
      <c r="C30">
        <v>-24.8292</v>
      </c>
    </row>
    <row r="31" spans="1:3" ht="14.4" x14ac:dyDescent="0.3">
      <c r="A31" s="30">
        <v>32</v>
      </c>
      <c r="B31">
        <v>1.01206</v>
      </c>
      <c r="C31">
        <v>-23.593299999999999</v>
      </c>
    </row>
    <row r="32" spans="1:3" ht="14.4" x14ac:dyDescent="0.3">
      <c r="A32" s="30">
        <v>33</v>
      </c>
      <c r="B32">
        <v>0.99712000000000001</v>
      </c>
      <c r="C32">
        <v>-21.528400000000001</v>
      </c>
    </row>
    <row r="33" spans="1:3" ht="14.4" x14ac:dyDescent="0.3">
      <c r="A33" s="30">
        <v>34</v>
      </c>
      <c r="B33">
        <v>1.0187900000000001</v>
      </c>
      <c r="C33">
        <v>-16.6782</v>
      </c>
    </row>
    <row r="34" spans="1:3" ht="14.4" x14ac:dyDescent="0.3">
      <c r="A34" s="30">
        <v>35</v>
      </c>
      <c r="B34">
        <v>1.0208900000000001</v>
      </c>
      <c r="C34">
        <v>-16.448599999999999</v>
      </c>
    </row>
    <row r="35" spans="1:3" ht="14.4" x14ac:dyDescent="0.3">
      <c r="A35" s="30">
        <v>36</v>
      </c>
      <c r="B35">
        <v>1.0225900000000001</v>
      </c>
      <c r="C35">
        <v>-16.253900000000002</v>
      </c>
    </row>
    <row r="36" spans="1:3" ht="14.4" x14ac:dyDescent="0.3">
      <c r="A36" s="30">
        <v>37</v>
      </c>
      <c r="B36">
        <v>1.0206200000000001</v>
      </c>
      <c r="C36">
        <v>-16.494</v>
      </c>
    </row>
    <row r="37" spans="1:3" ht="14.4" x14ac:dyDescent="0.3">
      <c r="A37" s="30">
        <v>38</v>
      </c>
      <c r="B37">
        <v>0.98616000000000004</v>
      </c>
      <c r="C37">
        <v>-16.488600000000002</v>
      </c>
    </row>
    <row r="38" spans="1:3" ht="14.4" x14ac:dyDescent="0.3">
      <c r="A38" s="30">
        <v>39</v>
      </c>
      <c r="B38">
        <v>1.0068699999999999</v>
      </c>
      <c r="C38">
        <v>-15.107100000000001</v>
      </c>
    </row>
    <row r="39" spans="1:3" ht="14.4" x14ac:dyDescent="0.3">
      <c r="A39" s="30">
        <v>40</v>
      </c>
      <c r="B39">
        <v>0.99800999999999995</v>
      </c>
      <c r="C39">
        <v>-14.2742</v>
      </c>
    </row>
    <row r="40" spans="1:3" ht="14.4" x14ac:dyDescent="0.3">
      <c r="A40" s="30">
        <v>41</v>
      </c>
      <c r="B40">
        <v>0.99041000000000001</v>
      </c>
      <c r="C40">
        <v>-14.183199999999999</v>
      </c>
    </row>
    <row r="41" spans="1:3" ht="14.4" x14ac:dyDescent="0.3">
      <c r="A41" s="30">
        <v>42</v>
      </c>
      <c r="B41">
        <v>0.99650000000000005</v>
      </c>
      <c r="C41">
        <v>-11.206099999999999</v>
      </c>
    </row>
    <row r="42" spans="1:3" ht="14.4" x14ac:dyDescent="0.3">
      <c r="A42" s="30">
        <v>43</v>
      </c>
      <c r="B42">
        <v>0.99577000000000004</v>
      </c>
      <c r="C42">
        <v>-14.7143</v>
      </c>
    </row>
    <row r="43" spans="1:3" ht="14.4" x14ac:dyDescent="0.3">
      <c r="A43" s="30">
        <v>44</v>
      </c>
      <c r="B43">
        <v>0.98331000000000002</v>
      </c>
      <c r="C43">
        <v>-9.2135999999999996</v>
      </c>
    </row>
    <row r="44" spans="1:3" ht="14.4" x14ac:dyDescent="0.3">
      <c r="A44" s="30">
        <v>45</v>
      </c>
      <c r="B44">
        <v>0.98895</v>
      </c>
      <c r="C44">
        <v>-6.3845999999999998</v>
      </c>
    </row>
    <row r="45" spans="1:3" ht="14.4" x14ac:dyDescent="0.3">
      <c r="A45" s="30">
        <v>46</v>
      </c>
      <c r="B45">
        <v>1.02</v>
      </c>
      <c r="C45">
        <v>-1.7366999999999999</v>
      </c>
    </row>
    <row r="46" spans="1:3" ht="14.4" x14ac:dyDescent="0.3">
      <c r="A46" s="30">
        <v>47</v>
      </c>
      <c r="B46">
        <v>1.03186</v>
      </c>
      <c r="C46">
        <v>-2.2924000000000002</v>
      </c>
    </row>
    <row r="47" spans="1:3" ht="14.4" x14ac:dyDescent="0.3">
      <c r="A47" s="30">
        <v>48</v>
      </c>
      <c r="B47">
        <v>1.0300499999999999</v>
      </c>
      <c r="C47">
        <v>-2.4546000000000001</v>
      </c>
    </row>
    <row r="48" spans="1:3" ht="14.4" x14ac:dyDescent="0.3">
      <c r="A48" s="30">
        <v>49</v>
      </c>
      <c r="B48">
        <v>1.04</v>
      </c>
      <c r="C48">
        <v>-2.1842999999999999</v>
      </c>
    </row>
    <row r="49" spans="1:3" ht="14.4" x14ac:dyDescent="0.3">
      <c r="A49" s="30">
        <v>50</v>
      </c>
      <c r="B49">
        <v>1.0307599999999999</v>
      </c>
      <c r="C49">
        <v>-3.4455</v>
      </c>
    </row>
    <row r="50" spans="1:3" ht="14.4" x14ac:dyDescent="0.3">
      <c r="A50" s="30">
        <v>51</v>
      </c>
      <c r="B50">
        <v>1.0162899999999999</v>
      </c>
      <c r="C50">
        <v>-4.9279999999999999</v>
      </c>
    </row>
    <row r="51" spans="1:3" ht="14.4" x14ac:dyDescent="0.3">
      <c r="A51" s="30">
        <v>52</v>
      </c>
      <c r="B51">
        <v>1.0119499999999999</v>
      </c>
      <c r="C51">
        <v>-5.5060000000000002</v>
      </c>
    </row>
    <row r="52" spans="1:3" ht="14.4" x14ac:dyDescent="0.3">
      <c r="A52" s="30">
        <v>53</v>
      </c>
      <c r="B52">
        <v>1.0136400000000001</v>
      </c>
      <c r="C52">
        <v>-5.5338000000000003</v>
      </c>
    </row>
    <row r="53" spans="1:3" ht="14.4" x14ac:dyDescent="0.3">
      <c r="A53" s="30">
        <v>54</v>
      </c>
      <c r="B53">
        <v>1.03</v>
      </c>
      <c r="C53">
        <v>-4.1174999999999997</v>
      </c>
    </row>
    <row r="54" spans="1:3" ht="14.4" x14ac:dyDescent="0.3">
      <c r="A54" s="30">
        <v>55</v>
      </c>
      <c r="B54">
        <v>1.02061</v>
      </c>
      <c r="C54">
        <v>-4.9139999999999997</v>
      </c>
    </row>
    <row r="55" spans="1:3" ht="14.4" x14ac:dyDescent="0.3">
      <c r="A55" s="30">
        <v>56</v>
      </c>
      <c r="B55">
        <v>1.0239400000000001</v>
      </c>
      <c r="C55">
        <v>-4.6710000000000003</v>
      </c>
    </row>
    <row r="56" spans="1:3" ht="14.4" x14ac:dyDescent="0.3">
      <c r="A56" s="30">
        <v>57</v>
      </c>
      <c r="B56">
        <v>1.0244</v>
      </c>
      <c r="C56">
        <v>-4.5227000000000004</v>
      </c>
    </row>
    <row r="57" spans="1:3" ht="14.4" x14ac:dyDescent="0.3">
      <c r="A57" s="30">
        <v>58</v>
      </c>
      <c r="B57">
        <v>1.0174799999999999</v>
      </c>
      <c r="C57">
        <v>-5.0843999999999996</v>
      </c>
    </row>
    <row r="58" spans="1:3" ht="14.4" x14ac:dyDescent="0.3">
      <c r="A58" s="30">
        <v>59</v>
      </c>
      <c r="B58">
        <v>1.02</v>
      </c>
      <c r="C58">
        <v>-4.0004</v>
      </c>
    </row>
    <row r="59" spans="1:3" ht="14.4" x14ac:dyDescent="0.3">
      <c r="A59" s="30">
        <v>60</v>
      </c>
      <c r="B59">
        <v>1.02521</v>
      </c>
      <c r="C59">
        <v>-3.7665999999999999</v>
      </c>
    </row>
    <row r="60" spans="1:3" ht="14.4" x14ac:dyDescent="0.3">
      <c r="A60" s="30">
        <v>61</v>
      </c>
      <c r="B60">
        <v>1.0281100000000001</v>
      </c>
      <c r="C60">
        <v>-3.1818</v>
      </c>
    </row>
    <row r="61" spans="1:3" ht="14.4" x14ac:dyDescent="0.3">
      <c r="A61" s="30">
        <v>62</v>
      </c>
      <c r="B61">
        <v>1.0234099999999999</v>
      </c>
      <c r="C61">
        <v>-3.7202999999999999</v>
      </c>
    </row>
    <row r="62" spans="1:3" ht="14.4" x14ac:dyDescent="0.3">
      <c r="A62" s="30">
        <v>63</v>
      </c>
      <c r="B62">
        <v>1.0200400000000001</v>
      </c>
      <c r="C62">
        <v>-3.9961000000000002</v>
      </c>
    </row>
    <row r="63" spans="1:3" ht="14.4" x14ac:dyDescent="0.3">
      <c r="A63" s="30">
        <v>64</v>
      </c>
      <c r="B63">
        <v>1.0281199999999999</v>
      </c>
      <c r="C63">
        <v>-3.1753</v>
      </c>
    </row>
    <row r="64" spans="1:3" ht="14.4" x14ac:dyDescent="0.3">
      <c r="A64" s="30">
        <v>65</v>
      </c>
      <c r="B64">
        <v>1.04</v>
      </c>
      <c r="C64">
        <v>0</v>
      </c>
    </row>
    <row r="65" spans="1:3" ht="14.4" x14ac:dyDescent="0.3">
      <c r="A65" s="30">
        <v>66</v>
      </c>
      <c r="B65">
        <v>1.04</v>
      </c>
      <c r="C65">
        <v>-1.0800000000000001E-2</v>
      </c>
    </row>
    <row r="66" spans="1:3" ht="14.4" x14ac:dyDescent="0.3">
      <c r="A66" s="30">
        <v>67</v>
      </c>
      <c r="B66">
        <v>1.0262899999999999</v>
      </c>
      <c r="C66">
        <v>-2.5169000000000001</v>
      </c>
    </row>
    <row r="67" spans="1:3" ht="14.4" x14ac:dyDescent="0.3">
      <c r="A67" s="30">
        <v>68</v>
      </c>
      <c r="B67">
        <v>1.0346299999999999</v>
      </c>
      <c r="C67">
        <v>1.3804000000000001</v>
      </c>
    </row>
    <row r="68" spans="1:3" ht="14.4" x14ac:dyDescent="0.3">
      <c r="A68" s="30">
        <v>69</v>
      </c>
      <c r="B68">
        <v>1.03461</v>
      </c>
      <c r="C68">
        <v>1.3735999999999999</v>
      </c>
    </row>
    <row r="69" spans="1:3" ht="14.4" x14ac:dyDescent="0.3">
      <c r="A69" s="30">
        <v>70</v>
      </c>
      <c r="B69">
        <v>1.0176499999999999</v>
      </c>
      <c r="C69">
        <v>-2.9049</v>
      </c>
    </row>
    <row r="70" spans="1:3" ht="14.4" x14ac:dyDescent="0.3">
      <c r="A70" s="30">
        <v>71</v>
      </c>
      <c r="B70">
        <v>1.0240899999999999</v>
      </c>
      <c r="C70">
        <v>-3.3411</v>
      </c>
    </row>
    <row r="71" spans="1:3" ht="14.4" x14ac:dyDescent="0.3">
      <c r="A71" s="30">
        <v>72</v>
      </c>
      <c r="B71">
        <v>1.02</v>
      </c>
      <c r="C71">
        <v>-8.1239000000000008</v>
      </c>
    </row>
    <row r="72" spans="1:3" ht="14.4" x14ac:dyDescent="0.3">
      <c r="A72" s="30">
        <v>73</v>
      </c>
      <c r="B72">
        <v>1.03209</v>
      </c>
      <c r="C72">
        <v>-2.6621000000000001</v>
      </c>
    </row>
    <row r="73" spans="1:3" ht="14.4" x14ac:dyDescent="0.3">
      <c r="A73" s="30">
        <v>74</v>
      </c>
      <c r="B73">
        <v>0.98594000000000004</v>
      </c>
      <c r="C73">
        <v>-3.0264000000000002</v>
      </c>
    </row>
    <row r="74" spans="1:3" ht="14.4" x14ac:dyDescent="0.3">
      <c r="A74" s="30">
        <v>75</v>
      </c>
      <c r="B74">
        <v>0.99521999999999999</v>
      </c>
      <c r="C74">
        <v>-1.6309</v>
      </c>
    </row>
    <row r="75" spans="1:3" ht="14.4" x14ac:dyDescent="0.3">
      <c r="A75" s="30">
        <v>76</v>
      </c>
      <c r="B75">
        <v>0.99621999999999999</v>
      </c>
      <c r="C75">
        <v>1.1906000000000001</v>
      </c>
    </row>
    <row r="76" spans="1:3" ht="14.4" x14ac:dyDescent="0.3">
      <c r="A76" s="30">
        <v>77</v>
      </c>
      <c r="B76">
        <v>1.0083500000000001</v>
      </c>
      <c r="C76">
        <v>3.5392999999999999</v>
      </c>
    </row>
    <row r="77" spans="1:3" ht="14.4" x14ac:dyDescent="0.3">
      <c r="A77" s="30">
        <v>78</v>
      </c>
      <c r="B77">
        <v>1.0013399999999999</v>
      </c>
      <c r="C77">
        <v>3.1269</v>
      </c>
    </row>
    <row r="78" spans="1:3" ht="14.4" x14ac:dyDescent="0.3">
      <c r="A78" s="30">
        <v>79</v>
      </c>
      <c r="B78">
        <v>0.99892000000000003</v>
      </c>
      <c r="C78">
        <v>3.1825000000000001</v>
      </c>
    </row>
    <row r="79" spans="1:3" ht="14.4" x14ac:dyDescent="0.3">
      <c r="A79" s="30">
        <v>80</v>
      </c>
      <c r="B79">
        <v>1.02</v>
      </c>
      <c r="C79">
        <v>4.6135999999999999</v>
      </c>
    </row>
    <row r="80" spans="1:3" ht="14.4" x14ac:dyDescent="0.3">
      <c r="A80" s="30">
        <v>81</v>
      </c>
      <c r="B80">
        <v>1.02013</v>
      </c>
      <c r="C80">
        <v>4.5979000000000001</v>
      </c>
    </row>
    <row r="81" spans="1:3" ht="14.4" x14ac:dyDescent="0.3">
      <c r="A81" s="30">
        <v>82</v>
      </c>
      <c r="B81">
        <v>0.99743999999999999</v>
      </c>
      <c r="C81">
        <v>7.5286</v>
      </c>
    </row>
    <row r="82" spans="1:3" ht="14.4" x14ac:dyDescent="0.3">
      <c r="A82" s="30">
        <v>83</v>
      </c>
      <c r="B82">
        <v>0.99768999999999997</v>
      </c>
      <c r="C82">
        <v>9.2474000000000007</v>
      </c>
    </row>
    <row r="83" spans="1:3" ht="14.4" x14ac:dyDescent="0.3">
      <c r="A83" s="30">
        <v>84</v>
      </c>
      <c r="B83">
        <v>1.00735</v>
      </c>
      <c r="C83">
        <v>12.4139</v>
      </c>
    </row>
    <row r="84" spans="1:3" ht="14.4" x14ac:dyDescent="0.3">
      <c r="A84" s="30">
        <v>85</v>
      </c>
      <c r="B84">
        <v>1.0197499999999999</v>
      </c>
      <c r="C84">
        <v>14.225</v>
      </c>
    </row>
    <row r="85" spans="1:3" ht="14.4" x14ac:dyDescent="0.3">
      <c r="A85" s="30">
        <v>86</v>
      </c>
      <c r="B85">
        <v>1.0015799999999999</v>
      </c>
      <c r="C85">
        <v>12.9451</v>
      </c>
    </row>
    <row r="86" spans="1:3" ht="14.4" x14ac:dyDescent="0.3">
      <c r="A86" s="30">
        <v>88</v>
      </c>
      <c r="B86">
        <v>1.0228200000000001</v>
      </c>
      <c r="C86">
        <v>17.219200000000001</v>
      </c>
    </row>
    <row r="87" spans="1:3" ht="14.4" x14ac:dyDescent="0.3">
      <c r="A87" s="30">
        <v>89</v>
      </c>
      <c r="B87">
        <v>1.04</v>
      </c>
      <c r="C87">
        <v>21.0547</v>
      </c>
    </row>
    <row r="88" spans="1:3" ht="14.4" x14ac:dyDescent="0.3">
      <c r="A88" s="30">
        <v>90</v>
      </c>
      <c r="B88">
        <v>1.02207</v>
      </c>
      <c r="C88">
        <v>19.718499999999999</v>
      </c>
    </row>
    <row r="89" spans="1:3" ht="14.4" x14ac:dyDescent="0.3">
      <c r="A89" s="30">
        <v>91</v>
      </c>
      <c r="B89">
        <v>1.0264899999999999</v>
      </c>
      <c r="C89">
        <v>20.427</v>
      </c>
    </row>
    <row r="90" spans="1:3" ht="14.4" x14ac:dyDescent="0.3">
      <c r="A90" s="30">
        <v>92</v>
      </c>
      <c r="B90">
        <v>1.03</v>
      </c>
      <c r="C90">
        <v>21.5566</v>
      </c>
    </row>
    <row r="91" spans="1:3" ht="14.4" x14ac:dyDescent="0.3">
      <c r="A91" s="30">
        <v>93</v>
      </c>
      <c r="B91">
        <v>1.00881</v>
      </c>
      <c r="C91">
        <v>17.876300000000001</v>
      </c>
    </row>
    <row r="92" spans="1:3" ht="14.4" x14ac:dyDescent="0.3">
      <c r="A92" s="30">
        <v>94</v>
      </c>
      <c r="B92">
        <v>0.99978999999999996</v>
      </c>
      <c r="C92">
        <v>15.041</v>
      </c>
    </row>
    <row r="93" spans="1:3" ht="14.4" x14ac:dyDescent="0.3">
      <c r="A93" s="30">
        <v>95</v>
      </c>
      <c r="B93">
        <v>0.9839</v>
      </c>
      <c r="C93">
        <v>12.0701</v>
      </c>
    </row>
    <row r="94" spans="1:3" ht="14.4" x14ac:dyDescent="0.3">
      <c r="A94" s="30">
        <v>96</v>
      </c>
      <c r="B94">
        <v>0.98997000000000002</v>
      </c>
      <c r="C94">
        <v>9.3406000000000002</v>
      </c>
    </row>
    <row r="95" spans="1:3" ht="14.4" x14ac:dyDescent="0.3">
      <c r="A95" s="30">
        <v>97</v>
      </c>
      <c r="B95">
        <v>0.99941000000000002</v>
      </c>
      <c r="C95">
        <v>6.6496000000000004</v>
      </c>
    </row>
    <row r="96" spans="1:3" ht="14.4" x14ac:dyDescent="0.3">
      <c r="A96" s="30">
        <v>98</v>
      </c>
      <c r="B96">
        <v>1.00831</v>
      </c>
      <c r="C96">
        <v>8.7223000000000006</v>
      </c>
    </row>
    <row r="97" spans="1:3" ht="14.4" x14ac:dyDescent="0.3">
      <c r="A97" s="30">
        <v>99</v>
      </c>
      <c r="B97">
        <v>1.0230600000000001</v>
      </c>
      <c r="C97">
        <v>14.7851</v>
      </c>
    </row>
    <row r="98" spans="1:3" ht="14.4" x14ac:dyDescent="0.3">
      <c r="A98" s="30">
        <v>100</v>
      </c>
      <c r="B98">
        <v>1.03</v>
      </c>
      <c r="C98">
        <v>18.7822</v>
      </c>
    </row>
    <row r="99" spans="1:3" ht="14.4" x14ac:dyDescent="0.3">
      <c r="A99" s="30">
        <v>101</v>
      </c>
      <c r="B99">
        <v>1.0174399999999999</v>
      </c>
      <c r="C99">
        <v>19.143999999999998</v>
      </c>
    </row>
    <row r="100" spans="1:3" ht="14.4" x14ac:dyDescent="0.3">
      <c r="A100" s="30">
        <v>102</v>
      </c>
      <c r="B100">
        <v>1.0249600000000001</v>
      </c>
      <c r="C100">
        <v>20.6614</v>
      </c>
    </row>
    <row r="101" spans="1:3" ht="14.4" x14ac:dyDescent="0.3">
      <c r="A101" s="30">
        <v>103</v>
      </c>
      <c r="B101">
        <v>1.0211399999999999</v>
      </c>
      <c r="C101">
        <v>19.679200000000002</v>
      </c>
    </row>
    <row r="102" spans="1:3" ht="14.4" x14ac:dyDescent="0.3">
      <c r="A102" s="30">
        <v>104</v>
      </c>
      <c r="B102">
        <v>1.0116099999999999</v>
      </c>
      <c r="C102">
        <v>19.592400000000001</v>
      </c>
    </row>
    <row r="103" spans="1:3" ht="14.4" x14ac:dyDescent="0.3">
      <c r="A103" s="30">
        <v>105</v>
      </c>
      <c r="B103">
        <v>1.0172300000000001</v>
      </c>
      <c r="C103">
        <v>20.420100000000001</v>
      </c>
    </row>
    <row r="104" spans="1:3" ht="14.4" x14ac:dyDescent="0.3">
      <c r="A104" s="30">
        <v>106</v>
      </c>
      <c r="B104">
        <v>1.0122199999999999</v>
      </c>
      <c r="C104">
        <v>19.141100000000002</v>
      </c>
    </row>
    <row r="105" spans="1:3" ht="14.4" x14ac:dyDescent="0.3">
      <c r="A105" s="30">
        <v>107</v>
      </c>
      <c r="B105">
        <v>1.0196400000000001</v>
      </c>
      <c r="C105">
        <v>19.2607</v>
      </c>
    </row>
    <row r="106" spans="1:3" ht="14.4" x14ac:dyDescent="0.3">
      <c r="A106" s="30">
        <v>108</v>
      </c>
      <c r="B106">
        <v>1.01925</v>
      </c>
      <c r="C106">
        <v>21.7254</v>
      </c>
    </row>
    <row r="107" spans="1:3" ht="14.4" x14ac:dyDescent="0.3">
      <c r="A107" s="30">
        <v>109</v>
      </c>
      <c r="B107">
        <v>1.0202899999999999</v>
      </c>
      <c r="C107">
        <v>22.291399999999999</v>
      </c>
    </row>
    <row r="108" spans="1:3" ht="14.4" x14ac:dyDescent="0.3">
      <c r="A108" s="30">
        <v>110</v>
      </c>
      <c r="B108">
        <v>1.02701</v>
      </c>
      <c r="C108">
        <v>24.087800000000001</v>
      </c>
    </row>
    <row r="109" spans="1:3" ht="14.4" x14ac:dyDescent="0.3">
      <c r="A109" s="30">
        <v>112</v>
      </c>
      <c r="B109">
        <v>1.04</v>
      </c>
      <c r="C109">
        <v>26.7437</v>
      </c>
    </row>
    <row r="110" spans="1:3" ht="14.4" x14ac:dyDescent="0.3">
      <c r="A110" s="30">
        <v>113</v>
      </c>
      <c r="B110">
        <v>1.02054</v>
      </c>
      <c r="C110">
        <v>-21.4605</v>
      </c>
    </row>
    <row r="111" spans="1:3" ht="14.4" x14ac:dyDescent="0.3">
      <c r="A111" s="30">
        <v>114</v>
      </c>
      <c r="B111">
        <v>1.0042899999999999</v>
      </c>
      <c r="C111">
        <v>-24.867000000000001</v>
      </c>
    </row>
    <row r="112" spans="1:3" ht="14.4" x14ac:dyDescent="0.3">
      <c r="A112" s="30">
        <v>115</v>
      </c>
      <c r="B112">
        <v>1.0034400000000001</v>
      </c>
      <c r="C112">
        <v>-25.038</v>
      </c>
    </row>
    <row r="113" spans="1:3" ht="14.4" x14ac:dyDescent="0.3">
      <c r="A113" s="30">
        <v>117</v>
      </c>
      <c r="B113">
        <v>1.00831</v>
      </c>
      <c r="C113">
        <v>-27.0443</v>
      </c>
    </row>
    <row r="114" spans="1:3" ht="14.4" x14ac:dyDescent="0.3">
      <c r="A114" s="30">
        <v>118</v>
      </c>
      <c r="B114">
        <v>0.98924999999999996</v>
      </c>
      <c r="C114">
        <v>-0.73480000000000001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742A-979F-4967-99F8-43E733C0AF0F}">
  <dimension ref="A1:T30"/>
  <sheetViews>
    <sheetView tabSelected="1" workbookViewId="0">
      <selection activeCell="I3" sqref="I3"/>
    </sheetView>
  </sheetViews>
  <sheetFormatPr defaultRowHeight="13.2" x14ac:dyDescent="0.25"/>
  <sheetData>
    <row r="1" spans="1:20" x14ac:dyDescent="0.25">
      <c r="A1" s="31" t="s">
        <v>0</v>
      </c>
      <c r="B1" s="31" t="s">
        <v>125</v>
      </c>
      <c r="C1" s="31" t="s">
        <v>30</v>
      </c>
      <c r="D1" s="31" t="s">
        <v>9</v>
      </c>
      <c r="E1" s="31" t="s">
        <v>31</v>
      </c>
      <c r="F1" s="31" t="s">
        <v>126</v>
      </c>
      <c r="G1" s="31" t="s">
        <v>127</v>
      </c>
      <c r="H1" s="31" t="s">
        <v>128</v>
      </c>
      <c r="I1" s="31" t="s">
        <v>129</v>
      </c>
      <c r="J1" s="31" t="s">
        <v>130</v>
      </c>
    </row>
    <row r="2" spans="1:20" x14ac:dyDescent="0.25">
      <c r="A2" s="5">
        <v>12</v>
      </c>
      <c r="B2" s="5">
        <v>12</v>
      </c>
      <c r="C2" s="32">
        <v>3</v>
      </c>
      <c r="D2" s="32">
        <v>1.20381</v>
      </c>
      <c r="E2" s="32">
        <v>1.0248600000000001</v>
      </c>
      <c r="F2">
        <f>1-$I$2</f>
        <v>0.5</v>
      </c>
      <c r="G2" s="33">
        <f t="shared" ref="G2:G29" si="0">$I$2*(1-$J$2)</f>
        <v>0.375</v>
      </c>
      <c r="H2" s="33">
        <f>$I$2*$J$2</f>
        <v>0.125</v>
      </c>
      <c r="I2" s="32">
        <v>0.5</v>
      </c>
      <c r="J2" s="32">
        <v>0.25</v>
      </c>
      <c r="M2" s="5"/>
      <c r="N2" s="5"/>
      <c r="O2" s="25"/>
      <c r="P2" s="25"/>
      <c r="Q2" s="9"/>
      <c r="R2" s="5"/>
      <c r="S2" s="5"/>
      <c r="T2" s="29"/>
    </row>
    <row r="3" spans="1:20" x14ac:dyDescent="0.25">
      <c r="A3" s="5">
        <v>19</v>
      </c>
      <c r="B3" s="5">
        <v>19</v>
      </c>
      <c r="C3" s="32">
        <v>0.3</v>
      </c>
      <c r="D3" s="32">
        <v>0.15521000000000001</v>
      </c>
      <c r="E3" s="32">
        <v>0.99336999999999998</v>
      </c>
      <c r="F3">
        <f t="shared" ref="F3:F29" si="1">1-$I$2</f>
        <v>0.5</v>
      </c>
      <c r="G3" s="33">
        <f t="shared" si="0"/>
        <v>0.375</v>
      </c>
      <c r="H3" s="33">
        <f t="shared" ref="H3:H29" si="2">$I$2*$J$2</f>
        <v>0.125</v>
      </c>
      <c r="M3" s="5"/>
      <c r="N3" s="5"/>
      <c r="O3" s="25"/>
      <c r="P3" s="25"/>
      <c r="Q3" s="9"/>
      <c r="R3" s="5"/>
      <c r="S3" s="5"/>
      <c r="T3" s="29"/>
    </row>
    <row r="4" spans="1:20" x14ac:dyDescent="0.25">
      <c r="A4" s="5">
        <v>31</v>
      </c>
      <c r="B4" s="5">
        <v>31</v>
      </c>
      <c r="C4" s="32">
        <v>0.3</v>
      </c>
      <c r="D4" s="32">
        <v>0.12545000000000001</v>
      </c>
      <c r="E4" s="32">
        <v>0.99885000000000002</v>
      </c>
      <c r="F4">
        <f t="shared" si="1"/>
        <v>0.5</v>
      </c>
      <c r="G4" s="33">
        <f>$I$2*(1-$J$2)</f>
        <v>0.375</v>
      </c>
      <c r="H4" s="33">
        <f t="shared" si="2"/>
        <v>0.125</v>
      </c>
      <c r="M4" s="5"/>
      <c r="N4" s="5"/>
      <c r="O4" s="25"/>
      <c r="P4" s="25"/>
      <c r="Q4" s="9"/>
      <c r="R4" s="5"/>
      <c r="S4" s="5"/>
      <c r="T4" s="29"/>
    </row>
    <row r="5" spans="1:20" x14ac:dyDescent="0.25">
      <c r="A5" s="5">
        <v>32</v>
      </c>
      <c r="B5" s="5">
        <v>32</v>
      </c>
      <c r="C5" s="32">
        <v>1</v>
      </c>
      <c r="D5" s="32">
        <v>0.32017000000000001</v>
      </c>
      <c r="E5" s="32">
        <v>1.01206</v>
      </c>
      <c r="F5">
        <f t="shared" si="1"/>
        <v>0.5</v>
      </c>
      <c r="G5" s="33">
        <f t="shared" si="0"/>
        <v>0.375</v>
      </c>
      <c r="H5" s="33">
        <f t="shared" si="2"/>
        <v>0.125</v>
      </c>
      <c r="M5" s="5"/>
      <c r="N5" s="5"/>
      <c r="O5" s="25"/>
      <c r="P5" s="25"/>
      <c r="Q5" s="9"/>
      <c r="R5" s="5"/>
      <c r="S5" s="5"/>
      <c r="T5" s="29"/>
    </row>
    <row r="6" spans="1:20" x14ac:dyDescent="0.25">
      <c r="A6" s="5">
        <v>34</v>
      </c>
      <c r="B6" s="5">
        <v>34</v>
      </c>
      <c r="C6" s="32">
        <v>0.3</v>
      </c>
      <c r="D6" s="32">
        <v>0.23729</v>
      </c>
      <c r="E6" s="32">
        <v>1.0187900000000001</v>
      </c>
      <c r="F6">
        <f t="shared" si="1"/>
        <v>0.5</v>
      </c>
      <c r="G6" s="33">
        <f t="shared" si="0"/>
        <v>0.375</v>
      </c>
      <c r="H6" s="33">
        <f t="shared" si="2"/>
        <v>0.125</v>
      </c>
      <c r="M6" s="5"/>
      <c r="N6" s="5"/>
      <c r="O6" s="25"/>
      <c r="P6" s="25"/>
      <c r="Q6" s="9"/>
      <c r="R6" s="5"/>
      <c r="S6" s="5"/>
      <c r="T6" s="29"/>
    </row>
    <row r="7" spans="1:20" x14ac:dyDescent="0.25">
      <c r="A7" s="5">
        <v>36</v>
      </c>
      <c r="B7" s="5">
        <v>36</v>
      </c>
      <c r="C7" s="32">
        <v>1</v>
      </c>
      <c r="D7" s="32">
        <v>0.31397999999999998</v>
      </c>
      <c r="E7" s="32">
        <v>1.0225900000000001</v>
      </c>
      <c r="F7">
        <f t="shared" si="1"/>
        <v>0.5</v>
      </c>
      <c r="G7" s="33">
        <f t="shared" si="0"/>
        <v>0.375</v>
      </c>
      <c r="H7" s="33">
        <f t="shared" si="2"/>
        <v>0.125</v>
      </c>
      <c r="M7" s="5"/>
      <c r="N7" s="5"/>
      <c r="O7" s="25"/>
      <c r="P7" s="25"/>
      <c r="Q7" s="9"/>
      <c r="R7" s="5"/>
      <c r="S7" s="5"/>
      <c r="T7" s="29"/>
    </row>
    <row r="8" spans="1:20" x14ac:dyDescent="0.25">
      <c r="A8" s="5">
        <v>40</v>
      </c>
      <c r="B8" s="5">
        <v>40</v>
      </c>
      <c r="C8" s="32">
        <v>0.3</v>
      </c>
      <c r="D8" s="32">
        <v>3.1030000000000002E-2</v>
      </c>
      <c r="E8" s="32">
        <v>0.99800999999999995</v>
      </c>
      <c r="F8">
        <f t="shared" si="1"/>
        <v>0.5</v>
      </c>
      <c r="G8" s="33">
        <f t="shared" si="0"/>
        <v>0.375</v>
      </c>
      <c r="H8" s="33">
        <f t="shared" si="2"/>
        <v>0.125</v>
      </c>
      <c r="M8" s="5"/>
      <c r="N8" s="5"/>
      <c r="O8" s="25"/>
      <c r="P8" s="25"/>
      <c r="Q8" s="9"/>
      <c r="R8" s="5"/>
      <c r="S8" s="5"/>
      <c r="T8" s="29"/>
    </row>
    <row r="9" spans="1:20" x14ac:dyDescent="0.25">
      <c r="A9" s="5">
        <v>46</v>
      </c>
      <c r="B9" s="5">
        <v>46</v>
      </c>
      <c r="C9" s="32">
        <v>1</v>
      </c>
      <c r="D9" s="32">
        <v>-6.2570000000000001E-2</v>
      </c>
      <c r="E9" s="32">
        <v>1.02</v>
      </c>
      <c r="F9">
        <f t="shared" si="1"/>
        <v>0.5</v>
      </c>
      <c r="G9" s="33">
        <f t="shared" si="0"/>
        <v>0.375</v>
      </c>
      <c r="H9" s="33">
        <f t="shared" si="2"/>
        <v>0.125</v>
      </c>
      <c r="M9" s="5"/>
      <c r="N9" s="5"/>
      <c r="O9" s="25"/>
      <c r="P9" s="25"/>
      <c r="Q9" s="9"/>
      <c r="R9" s="5"/>
      <c r="S9" s="5"/>
      <c r="T9" s="29"/>
    </row>
    <row r="10" spans="1:20" x14ac:dyDescent="0.25">
      <c r="A10" s="5">
        <v>49</v>
      </c>
      <c r="B10" s="5">
        <v>49</v>
      </c>
      <c r="C10" s="32">
        <v>2.5</v>
      </c>
      <c r="D10" s="32">
        <v>0.85680999999999996</v>
      </c>
      <c r="E10" s="32">
        <v>1.04</v>
      </c>
      <c r="F10">
        <f t="shared" si="1"/>
        <v>0.5</v>
      </c>
      <c r="G10" s="33">
        <f t="shared" si="0"/>
        <v>0.375</v>
      </c>
      <c r="H10" s="33">
        <f t="shared" si="2"/>
        <v>0.125</v>
      </c>
      <c r="M10" s="5"/>
      <c r="N10" s="5"/>
      <c r="O10" s="25"/>
      <c r="P10" s="25"/>
      <c r="Q10" s="9"/>
      <c r="R10" s="5"/>
      <c r="S10" s="5"/>
      <c r="T10" s="29"/>
    </row>
    <row r="11" spans="1:20" x14ac:dyDescent="0.25">
      <c r="A11" s="5">
        <v>54</v>
      </c>
      <c r="B11" s="5">
        <v>54</v>
      </c>
      <c r="C11" s="32">
        <v>2.5</v>
      </c>
      <c r="D11" s="32">
        <v>0.72514999999999996</v>
      </c>
      <c r="E11" s="32">
        <v>1.03</v>
      </c>
      <c r="F11">
        <f t="shared" si="1"/>
        <v>0.5</v>
      </c>
      <c r="G11" s="33">
        <f t="shared" si="0"/>
        <v>0.375</v>
      </c>
      <c r="H11" s="33">
        <f t="shared" si="2"/>
        <v>0.125</v>
      </c>
      <c r="M11" s="5"/>
      <c r="N11" s="5"/>
      <c r="O11" s="25"/>
      <c r="P11" s="25"/>
      <c r="Q11" s="9"/>
      <c r="R11" s="5"/>
      <c r="S11" s="5"/>
      <c r="T11" s="29"/>
    </row>
    <row r="12" spans="1:20" x14ac:dyDescent="0.25">
      <c r="A12" s="5">
        <v>59</v>
      </c>
      <c r="B12" s="5">
        <v>59</v>
      </c>
      <c r="C12" s="32">
        <v>2</v>
      </c>
      <c r="D12" s="32">
        <v>0.33889999999999998</v>
      </c>
      <c r="E12" s="32">
        <v>1.02</v>
      </c>
      <c r="F12">
        <f t="shared" si="1"/>
        <v>0.5</v>
      </c>
      <c r="G12" s="33">
        <f t="shared" si="0"/>
        <v>0.375</v>
      </c>
      <c r="H12" s="33">
        <f t="shared" si="2"/>
        <v>0.125</v>
      </c>
      <c r="M12" s="5"/>
      <c r="N12" s="5"/>
      <c r="O12" s="26"/>
      <c r="P12" s="26"/>
      <c r="Q12" s="24"/>
      <c r="R12" s="5"/>
      <c r="S12" s="5"/>
      <c r="T12" s="29"/>
    </row>
    <row r="13" spans="1:20" x14ac:dyDescent="0.25">
      <c r="A13" s="5">
        <v>65</v>
      </c>
      <c r="B13" s="5">
        <v>65</v>
      </c>
      <c r="C13" s="32">
        <v>5.4712300000000003</v>
      </c>
      <c r="D13" s="32">
        <v>0.41570000000000001</v>
      </c>
      <c r="E13" s="32">
        <v>1.04</v>
      </c>
      <c r="F13">
        <f t="shared" si="1"/>
        <v>0.5</v>
      </c>
      <c r="G13" s="35">
        <f>$I$2*(1)</f>
        <v>0.5</v>
      </c>
      <c r="H13" s="35">
        <v>0</v>
      </c>
      <c r="M13" s="5"/>
      <c r="N13" s="5"/>
      <c r="O13" s="26"/>
      <c r="P13" s="26"/>
      <c r="Q13" s="24"/>
      <c r="R13" s="6"/>
      <c r="S13" s="5"/>
      <c r="T13" s="29"/>
    </row>
    <row r="14" spans="1:20" x14ac:dyDescent="0.25">
      <c r="A14" s="5">
        <v>70</v>
      </c>
      <c r="B14" s="5">
        <v>70</v>
      </c>
      <c r="C14" s="32">
        <v>0.8</v>
      </c>
      <c r="D14" s="32">
        <v>0.32255</v>
      </c>
      <c r="E14" s="32">
        <v>1.0176499999999999</v>
      </c>
      <c r="F14">
        <f t="shared" si="1"/>
        <v>0.5</v>
      </c>
      <c r="G14" s="33">
        <f t="shared" si="0"/>
        <v>0.375</v>
      </c>
      <c r="H14" s="33">
        <f t="shared" si="2"/>
        <v>0.125</v>
      </c>
      <c r="M14" s="5"/>
      <c r="N14" s="5"/>
      <c r="O14" s="26"/>
      <c r="P14" s="26"/>
      <c r="Q14" s="24"/>
      <c r="R14" s="6"/>
      <c r="S14" s="5"/>
      <c r="T14" s="29"/>
    </row>
    <row r="15" spans="1:20" x14ac:dyDescent="0.25">
      <c r="A15" s="5">
        <v>72</v>
      </c>
      <c r="B15" s="5">
        <v>72</v>
      </c>
      <c r="C15" s="32">
        <v>0.3</v>
      </c>
      <c r="D15" s="32">
        <v>-7.5759999999999994E-2</v>
      </c>
      <c r="E15" s="32">
        <v>1.02</v>
      </c>
      <c r="F15">
        <f t="shared" si="1"/>
        <v>0.5</v>
      </c>
      <c r="G15" s="33">
        <f t="shared" si="0"/>
        <v>0.375</v>
      </c>
      <c r="H15" s="33">
        <f t="shared" si="2"/>
        <v>0.125</v>
      </c>
      <c r="M15" s="5"/>
      <c r="N15" s="5"/>
      <c r="O15" s="26"/>
      <c r="P15" s="26"/>
      <c r="Q15" s="24"/>
      <c r="R15" s="6"/>
      <c r="S15" s="5"/>
      <c r="T15" s="29"/>
    </row>
    <row r="16" spans="1:20" x14ac:dyDescent="0.25">
      <c r="A16" s="5">
        <v>73</v>
      </c>
      <c r="B16" s="5">
        <v>73</v>
      </c>
      <c r="C16" s="32">
        <v>0.3</v>
      </c>
      <c r="D16" s="32">
        <v>0.1201</v>
      </c>
      <c r="E16" s="32">
        <v>1.03209</v>
      </c>
      <c r="F16">
        <f t="shared" si="1"/>
        <v>0.5</v>
      </c>
      <c r="G16" s="33">
        <f t="shared" si="0"/>
        <v>0.375</v>
      </c>
      <c r="H16" s="33">
        <f t="shared" si="2"/>
        <v>0.125</v>
      </c>
      <c r="M16" s="5"/>
      <c r="N16" s="5"/>
      <c r="O16" s="26"/>
      <c r="P16" s="26"/>
      <c r="Q16" s="24"/>
      <c r="R16" s="6"/>
      <c r="S16" s="5"/>
      <c r="T16" s="29"/>
    </row>
    <row r="17" spans="1:20" x14ac:dyDescent="0.25">
      <c r="A17" s="5">
        <v>76</v>
      </c>
      <c r="B17" s="5">
        <v>76</v>
      </c>
      <c r="C17" s="32">
        <v>1</v>
      </c>
      <c r="D17" s="32">
        <v>0.30012</v>
      </c>
      <c r="E17" s="32">
        <v>0.99621999999999999</v>
      </c>
      <c r="F17">
        <f t="shared" si="1"/>
        <v>0.5</v>
      </c>
      <c r="G17" s="33">
        <f t="shared" si="0"/>
        <v>0.375</v>
      </c>
      <c r="H17" s="33">
        <f t="shared" si="2"/>
        <v>0.125</v>
      </c>
      <c r="M17" s="5"/>
      <c r="N17" s="5"/>
      <c r="O17" s="26"/>
      <c r="P17" s="26"/>
      <c r="Q17" s="24"/>
      <c r="R17" s="6"/>
      <c r="S17" s="5"/>
      <c r="T17" s="29"/>
    </row>
    <row r="18" spans="1:20" x14ac:dyDescent="0.25">
      <c r="A18" s="5">
        <v>77</v>
      </c>
      <c r="B18" s="5">
        <v>77</v>
      </c>
      <c r="C18" s="32">
        <v>1</v>
      </c>
      <c r="D18" s="32">
        <v>0.33090000000000003</v>
      </c>
      <c r="E18" s="32">
        <v>1.0083500000000001</v>
      </c>
      <c r="F18">
        <f t="shared" si="1"/>
        <v>0.5</v>
      </c>
      <c r="G18" s="33">
        <f t="shared" si="0"/>
        <v>0.375</v>
      </c>
      <c r="H18" s="33">
        <f t="shared" si="2"/>
        <v>0.125</v>
      </c>
      <c r="M18" s="5"/>
      <c r="N18" s="5"/>
      <c r="O18" s="26"/>
      <c r="P18" s="26"/>
      <c r="Q18" s="24"/>
      <c r="R18" s="6"/>
      <c r="S18" s="5"/>
      <c r="T18" s="29"/>
    </row>
    <row r="19" spans="1:20" x14ac:dyDescent="0.25">
      <c r="A19" s="5">
        <v>80</v>
      </c>
      <c r="B19" s="5">
        <v>80</v>
      </c>
      <c r="C19" s="32">
        <v>3</v>
      </c>
      <c r="D19" s="32">
        <v>0.27464</v>
      </c>
      <c r="E19" s="32">
        <v>1.02</v>
      </c>
      <c r="F19">
        <f t="shared" si="1"/>
        <v>0.5</v>
      </c>
      <c r="G19" s="33">
        <f t="shared" si="0"/>
        <v>0.375</v>
      </c>
      <c r="H19" s="33">
        <f t="shared" si="2"/>
        <v>0.125</v>
      </c>
      <c r="M19" s="5"/>
      <c r="N19" s="5"/>
      <c r="O19" s="26"/>
      <c r="P19" s="26"/>
      <c r="Q19" s="24"/>
      <c r="R19" s="6"/>
      <c r="S19" s="5"/>
      <c r="T19" s="29"/>
    </row>
    <row r="20" spans="1:20" x14ac:dyDescent="0.25">
      <c r="A20" s="5">
        <v>85</v>
      </c>
      <c r="B20" s="5">
        <v>85</v>
      </c>
      <c r="C20" s="32">
        <v>0.3</v>
      </c>
      <c r="D20" s="32">
        <v>0.25098999999999999</v>
      </c>
      <c r="E20" s="32">
        <v>1.0197499999999999</v>
      </c>
      <c r="F20">
        <f t="shared" si="1"/>
        <v>0.5</v>
      </c>
      <c r="G20" s="33">
        <f t="shared" si="0"/>
        <v>0.375</v>
      </c>
      <c r="H20" s="33">
        <f t="shared" si="2"/>
        <v>0.125</v>
      </c>
      <c r="M20" s="5"/>
      <c r="N20" s="5"/>
      <c r="O20" s="26"/>
      <c r="P20" s="26"/>
      <c r="Q20" s="24"/>
      <c r="R20" s="6"/>
      <c r="S20" s="5"/>
      <c r="T20" s="29"/>
    </row>
    <row r="21" spans="1:20" x14ac:dyDescent="0.25">
      <c r="A21" s="5">
        <v>89</v>
      </c>
      <c r="B21" s="5">
        <v>89</v>
      </c>
      <c r="C21" s="32">
        <v>2</v>
      </c>
      <c r="D21" s="32">
        <v>0.46929999999999999</v>
      </c>
      <c r="E21" s="32">
        <v>1.04</v>
      </c>
      <c r="F21">
        <f t="shared" si="1"/>
        <v>0.5</v>
      </c>
      <c r="G21" s="33">
        <f t="shared" si="0"/>
        <v>0.375</v>
      </c>
      <c r="H21" s="33">
        <f t="shared" si="2"/>
        <v>0.125</v>
      </c>
      <c r="M21" s="5"/>
      <c r="N21" s="5"/>
      <c r="O21" s="26"/>
      <c r="P21" s="26"/>
      <c r="Q21" s="24"/>
      <c r="R21" s="6"/>
      <c r="S21" s="5"/>
      <c r="T21" s="29"/>
    </row>
    <row r="22" spans="1:20" x14ac:dyDescent="0.25">
      <c r="A22" s="5">
        <v>90</v>
      </c>
      <c r="B22" s="5">
        <v>90</v>
      </c>
      <c r="C22" s="32">
        <v>0.2</v>
      </c>
      <c r="D22" s="32">
        <v>0.15009</v>
      </c>
      <c r="E22" s="32">
        <v>1.02207</v>
      </c>
      <c r="F22">
        <f t="shared" si="1"/>
        <v>0.5</v>
      </c>
      <c r="G22" s="33">
        <f t="shared" si="0"/>
        <v>0.375</v>
      </c>
      <c r="H22" s="33">
        <f t="shared" si="2"/>
        <v>0.125</v>
      </c>
      <c r="M22" s="5"/>
      <c r="N22" s="5"/>
      <c r="O22" s="26"/>
      <c r="P22" s="26"/>
      <c r="Q22" s="24"/>
      <c r="R22" s="6"/>
      <c r="S22" s="5"/>
      <c r="T22" s="29"/>
    </row>
    <row r="23" spans="1:20" x14ac:dyDescent="0.25">
      <c r="A23" s="5">
        <v>92</v>
      </c>
      <c r="B23" s="5">
        <v>92</v>
      </c>
      <c r="C23" s="32">
        <v>3</v>
      </c>
      <c r="D23" s="32">
        <v>-0.30937000000000003</v>
      </c>
      <c r="E23" s="32">
        <v>1.03</v>
      </c>
      <c r="F23">
        <f t="shared" si="1"/>
        <v>0.5</v>
      </c>
      <c r="G23" s="33">
        <f t="shared" si="0"/>
        <v>0.375</v>
      </c>
      <c r="H23" s="33">
        <f t="shared" si="2"/>
        <v>0.125</v>
      </c>
      <c r="M23" s="5"/>
      <c r="N23" s="5"/>
      <c r="O23" s="26"/>
      <c r="P23" s="26"/>
      <c r="Q23" s="24"/>
      <c r="R23" s="6"/>
      <c r="S23" s="5"/>
      <c r="T23" s="29"/>
    </row>
    <row r="24" spans="1:20" x14ac:dyDescent="0.25">
      <c r="A24" s="5">
        <v>100</v>
      </c>
      <c r="B24" s="5">
        <v>100</v>
      </c>
      <c r="C24" s="32">
        <v>3</v>
      </c>
      <c r="D24" s="32">
        <v>0.67594999999999994</v>
      </c>
      <c r="E24" s="32">
        <v>1.03</v>
      </c>
      <c r="F24">
        <f t="shared" si="1"/>
        <v>0.5</v>
      </c>
      <c r="G24" s="33">
        <f t="shared" si="0"/>
        <v>0.375</v>
      </c>
      <c r="H24" s="33">
        <f t="shared" si="2"/>
        <v>0.125</v>
      </c>
      <c r="M24" s="5"/>
      <c r="N24" s="5"/>
      <c r="O24" s="25"/>
      <c r="P24" s="25"/>
      <c r="Q24" s="9"/>
      <c r="R24" s="6"/>
      <c r="S24" s="5"/>
      <c r="T24" s="29"/>
    </row>
    <row r="25" spans="1:20" x14ac:dyDescent="0.25">
      <c r="A25" s="5">
        <v>105</v>
      </c>
      <c r="B25" s="5">
        <v>105</v>
      </c>
      <c r="C25" s="32">
        <v>1</v>
      </c>
      <c r="D25" s="32">
        <v>0.22994000000000001</v>
      </c>
      <c r="E25" s="32">
        <v>1.0172300000000001</v>
      </c>
      <c r="F25">
        <f t="shared" si="1"/>
        <v>0.5</v>
      </c>
      <c r="G25" s="33">
        <f t="shared" si="0"/>
        <v>0.375</v>
      </c>
      <c r="H25" s="33">
        <f t="shared" si="2"/>
        <v>0.125</v>
      </c>
      <c r="M25" s="5"/>
      <c r="N25" s="5"/>
      <c r="O25" s="25"/>
      <c r="P25" s="25"/>
      <c r="Q25" s="9"/>
      <c r="R25" s="6"/>
      <c r="S25" s="5"/>
      <c r="T25" s="29"/>
    </row>
    <row r="26" spans="1:20" x14ac:dyDescent="0.25">
      <c r="A26" s="5">
        <v>107</v>
      </c>
      <c r="B26" s="5">
        <v>107</v>
      </c>
      <c r="C26" s="32">
        <v>0.2</v>
      </c>
      <c r="D26" s="32">
        <v>0.15002000000000001</v>
      </c>
      <c r="E26" s="32">
        <v>1.0196400000000001</v>
      </c>
      <c r="F26">
        <f t="shared" si="1"/>
        <v>0.5</v>
      </c>
      <c r="G26" s="33">
        <f t="shared" si="0"/>
        <v>0.375</v>
      </c>
      <c r="H26" s="33">
        <f t="shared" si="2"/>
        <v>0.125</v>
      </c>
      <c r="M26" s="5"/>
      <c r="N26" s="5"/>
      <c r="O26" s="25"/>
      <c r="P26" s="25"/>
      <c r="Q26" s="9"/>
      <c r="R26" s="6"/>
      <c r="S26" s="5"/>
      <c r="T26" s="29"/>
    </row>
    <row r="27" spans="1:20" x14ac:dyDescent="0.25">
      <c r="A27" s="5">
        <v>110</v>
      </c>
      <c r="B27" s="5">
        <v>110</v>
      </c>
      <c r="C27" s="32">
        <v>0.5</v>
      </c>
      <c r="D27" s="32">
        <v>0.22999</v>
      </c>
      <c r="E27" s="32">
        <v>1.02701</v>
      </c>
      <c r="F27">
        <f t="shared" si="1"/>
        <v>0.5</v>
      </c>
      <c r="G27" s="33">
        <f t="shared" si="0"/>
        <v>0.375</v>
      </c>
      <c r="H27" s="33">
        <f t="shared" si="2"/>
        <v>0.125</v>
      </c>
      <c r="M27" s="5"/>
      <c r="N27" s="5"/>
      <c r="O27" s="25"/>
      <c r="P27" s="25"/>
      <c r="Q27" s="9"/>
      <c r="R27" s="6"/>
      <c r="S27" s="5"/>
      <c r="T27" s="29"/>
    </row>
    <row r="28" spans="1:20" x14ac:dyDescent="0.25">
      <c r="A28" s="5">
        <v>112</v>
      </c>
      <c r="B28" s="5">
        <v>112</v>
      </c>
      <c r="C28" s="32">
        <v>1</v>
      </c>
      <c r="D28" s="32">
        <v>3.603E-2</v>
      </c>
      <c r="E28" s="32">
        <v>1.04</v>
      </c>
      <c r="F28">
        <f t="shared" si="1"/>
        <v>0.5</v>
      </c>
      <c r="G28" s="33">
        <f t="shared" si="0"/>
        <v>0.375</v>
      </c>
      <c r="H28" s="33">
        <f t="shared" si="2"/>
        <v>0.125</v>
      </c>
      <c r="M28" s="5"/>
      <c r="N28" s="5"/>
      <c r="O28" s="25"/>
      <c r="P28" s="25"/>
      <c r="Q28" s="9"/>
      <c r="R28" s="6"/>
      <c r="S28" s="5"/>
      <c r="T28" s="29"/>
    </row>
    <row r="29" spans="1:20" x14ac:dyDescent="0.25">
      <c r="A29" s="5">
        <v>113</v>
      </c>
      <c r="B29" s="5">
        <v>113</v>
      </c>
      <c r="C29" s="32">
        <v>1</v>
      </c>
      <c r="D29" s="32">
        <v>-0.29405000000000003</v>
      </c>
      <c r="E29" s="32">
        <v>1.02054</v>
      </c>
      <c r="F29">
        <f t="shared" si="1"/>
        <v>0.5</v>
      </c>
      <c r="G29" s="33">
        <f t="shared" si="0"/>
        <v>0.375</v>
      </c>
      <c r="H29" s="33">
        <f t="shared" si="2"/>
        <v>0.125</v>
      </c>
      <c r="M29" s="5"/>
      <c r="N29" s="5"/>
      <c r="O29" s="25"/>
      <c r="P29" s="25"/>
      <c r="Q29" s="9"/>
      <c r="R29" s="6"/>
      <c r="S29" s="5"/>
      <c r="T29" s="29"/>
    </row>
    <row r="30" spans="1:20" x14ac:dyDescent="0.25">
      <c r="A30" s="20"/>
      <c r="B3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global</vt:lpstr>
      <vt:lpstr>AC-NET</vt:lpstr>
      <vt:lpstr>DC-NET</vt:lpstr>
      <vt:lpstr>trafo</vt:lpstr>
      <vt:lpstr>load</vt:lpstr>
      <vt:lpstr>TH</vt:lpstr>
      <vt:lpstr>SG</vt:lpstr>
      <vt:lpstr>STATCOM</vt:lpstr>
      <vt:lpstr>VSC</vt:lpstr>
      <vt:lpstr>MMC-Pac-GFll</vt:lpstr>
      <vt:lpstr>MMC-Vdc-GFll</vt:lpstr>
      <vt:lpstr>b2b</vt:lpstr>
      <vt:lpstr>user</vt:lpstr>
      <vt:lpstr>PF</vt:lpstr>
      <vt:lpstr>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Francesca</dc:creator>
  <dc:description/>
  <cp:lastModifiedBy>Francesca</cp:lastModifiedBy>
  <cp:revision>31</cp:revision>
  <dcterms:created xsi:type="dcterms:W3CDTF">2022-02-25T19:10:54Z</dcterms:created>
  <dcterms:modified xsi:type="dcterms:W3CDTF">2023-09-18T17:15:18Z</dcterms:modified>
  <dc:language>en-US</dc:language>
</cp:coreProperties>
</file>