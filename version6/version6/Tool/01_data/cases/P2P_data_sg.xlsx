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01_data\cases\"/>
    </mc:Choice>
  </mc:AlternateContent>
  <xr:revisionPtr revIDLastSave="0" documentId="13_ncr:1_{89E88BCA-98A3-4460-B8FD-6C3E65C283D7}" xr6:coauthVersionLast="47" xr6:coauthVersionMax="47" xr10:uidLastSave="{00000000-0000-0000-0000-000000000000}"/>
  <bookViews>
    <workbookView xWindow="-108" yWindow="-108" windowWidth="23256" windowHeight="12576" tabRatio="922" activeTab="7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4" l="1"/>
  <c r="D3" i="24"/>
  <c r="E3" i="24"/>
  <c r="F3" i="24"/>
  <c r="G3" i="24"/>
  <c r="V3" i="24"/>
  <c r="W3" i="24"/>
  <c r="C4" i="24"/>
  <c r="D4" i="24"/>
  <c r="E4" i="24"/>
  <c r="F4" i="24"/>
  <c r="G4" i="24"/>
  <c r="V4" i="24"/>
  <c r="W4" i="24"/>
  <c r="W2" i="24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<sst xmlns="http://schemas.openxmlformats.org/spreadsheetml/2006/main" count="108" uniqueCount="76">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</sst>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ColWidth="9.109375" defaultRowHeight="13.8" x14ac:dyDescent="0.3"/>
  <cols>
    <col min="1" max="2" width="9.109375" style="4"/>
    <col min="3" max="3" width="13.5546875" style="4" bestFit="1" customWidth="1"/>
    <col min="4" max="16384" width="9.109375" style="4"/>
  </cols>
  <sheetData>
    <row r="1" spans="1:3" x14ac:dyDescent="0.3">
      <c r="A1" s="13" t="s">
        <v>63</v>
      </c>
      <c r="B1" s="19" t="s">
        <v>64</v>
      </c>
      <c r="C1" s="17" t="s">
        <v>65</v>
      </c>
    </row>
    <row r="2" spans="1:3" x14ac:dyDescent="0.3">
      <c r="A2" s="4" t="s">
        <v>66</v>
      </c>
      <c r="B2" s="4" t="s">
        <v>69</v>
      </c>
      <c r="C2" s="4" t="s">
        <v>70</v>
      </c>
    </row>
    <row r="3" spans="1:3" x14ac:dyDescent="0.3">
      <c r="A3" s="4" t="s">
        <v>67</v>
      </c>
      <c r="C3" s="4" t="s">
        <v>71</v>
      </c>
    </row>
    <row r="4" spans="1:3" x14ac:dyDescent="0.3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5"/>
  <sheetViews>
    <sheetView zoomScaleNormal="100" workbookViewId="0">
      <selection activeCell="B5" sqref="B5"/>
    </sheetView>
  </sheetViews>
  <sheetFormatPr defaultColWidth="8.6640625" defaultRowHeight="13.8" x14ac:dyDescent="0.3"/>
  <cols>
    <col min="1" max="2" width="6.6640625" style="4" customWidth="1"/>
    <col min="3" max="3" width="7.88671875" style="4" bestFit="1" customWidth="1"/>
    <col min="4" max="53" width="6.6640625" style="1" customWidth="1"/>
    <col min="54" max="16384" width="8.6640625" style="1"/>
  </cols>
  <sheetData>
    <row r="1" spans="1:52" s="8" customFormat="1" x14ac:dyDescent="0.25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3">
      <c r="A2" s="29">
        <v>1</v>
      </c>
      <c r="B2" s="29">
        <v>1</v>
      </c>
      <c r="C2" s="28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 s="29">
        <v>2</v>
      </c>
      <c r="B3" s="29">
        <v>8</v>
      </c>
      <c r="C3" s="28">
        <v>0.01</v>
      </c>
      <c r="D3" s="2">
        <v>200</v>
      </c>
      <c r="E3" s="2">
        <v>1.4999999999999999E-2</v>
      </c>
      <c r="F3" s="2">
        <v>10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 s="29">
        <v>3</v>
      </c>
      <c r="B4" s="29">
        <v>11</v>
      </c>
      <c r="C4" s="28">
        <v>0.01</v>
      </c>
      <c r="D4" s="2">
        <v>200</v>
      </c>
      <c r="E4" s="2">
        <v>1.4999999999999999E-2</v>
      </c>
      <c r="F4" s="2">
        <v>10</v>
      </c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3"/>
      <c r="B5" s="3"/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5"/>
  <sheetViews>
    <sheetView zoomScaleNormal="100" workbookViewId="0">
      <selection activeCell="B5" sqref="B5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34" x14ac:dyDescent="0.3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1</v>
      </c>
      <c r="B2" s="3">
        <v>1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3">
      <c r="A3" s="4">
        <v>2</v>
      </c>
      <c r="B3" s="3">
        <v>8</v>
      </c>
      <c r="C3" s="2">
        <v>0.02</v>
      </c>
      <c r="D3" s="2">
        <v>3.15</v>
      </c>
      <c r="E3" s="2">
        <v>3.15</v>
      </c>
      <c r="F3" s="2">
        <v>0.02</v>
      </c>
      <c r="G3" s="2">
        <v>1</v>
      </c>
      <c r="H3" s="2">
        <v>0</v>
      </c>
      <c r="I3" s="2">
        <v>0</v>
      </c>
      <c r="J3" s="2">
        <v>0</v>
      </c>
      <c r="K3" s="2">
        <v>6.5</v>
      </c>
      <c r="L3" s="2">
        <v>-0.08</v>
      </c>
      <c r="M3" s="2">
        <v>0</v>
      </c>
    </row>
    <row r="4" spans="1:34" x14ac:dyDescent="0.3">
      <c r="A4" s="4">
        <v>3</v>
      </c>
      <c r="B4" s="3">
        <v>11</v>
      </c>
      <c r="C4" s="2">
        <v>0.02</v>
      </c>
      <c r="D4" s="2">
        <v>3.15</v>
      </c>
      <c r="E4" s="2">
        <v>3.15</v>
      </c>
      <c r="F4" s="2">
        <v>0.02</v>
      </c>
      <c r="G4" s="2">
        <v>1</v>
      </c>
      <c r="H4" s="2">
        <v>0</v>
      </c>
      <c r="I4" s="2">
        <v>0</v>
      </c>
      <c r="J4" s="2">
        <v>0</v>
      </c>
      <c r="K4" s="2">
        <v>6.5</v>
      </c>
      <c r="L4" s="2">
        <v>-0.08</v>
      </c>
      <c r="M4" s="2">
        <v>0</v>
      </c>
    </row>
    <row r="5" spans="1:34" x14ac:dyDescent="0.3">
      <c r="A5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18"/>
  <sheetViews>
    <sheetView zoomScaleNormal="100" workbookViewId="0">
      <selection activeCell="E15" sqref="E15"/>
    </sheetView>
  </sheetViews>
  <sheetFormatPr defaultColWidth="9.109375" defaultRowHeight="13.2" x14ac:dyDescent="0.25"/>
  <cols>
    <col min="1" max="16384" width="9.109375" style="21"/>
  </cols>
  <sheetData>
    <row r="1" spans="1:51" ht="13.8" x14ac:dyDescent="0.25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13.8" x14ac:dyDescent="0.25">
      <c r="A2" s="8">
        <v>1</v>
      </c>
      <c r="B2" s="7">
        <v>1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3.8" x14ac:dyDescent="0.25">
      <c r="A3" s="8">
        <v>2</v>
      </c>
      <c r="B3" s="7">
        <v>8</v>
      </c>
      <c r="C3" s="8">
        <v>0.01</v>
      </c>
      <c r="D3" s="8">
        <v>0</v>
      </c>
      <c r="E3" s="8">
        <v>10</v>
      </c>
      <c r="F3" s="8">
        <v>1</v>
      </c>
      <c r="G3" s="8">
        <v>200</v>
      </c>
      <c r="H3" s="8">
        <v>0</v>
      </c>
      <c r="I3" s="8">
        <v>0</v>
      </c>
      <c r="J3" s="8">
        <v>1</v>
      </c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13.8" x14ac:dyDescent="0.25">
      <c r="A4" s="8">
        <v>3</v>
      </c>
      <c r="B4" s="7">
        <v>11</v>
      </c>
      <c r="C4" s="8">
        <v>0.01</v>
      </c>
      <c r="D4" s="8">
        <v>0</v>
      </c>
      <c r="E4" s="8">
        <v>10</v>
      </c>
      <c r="F4" s="8">
        <v>1</v>
      </c>
      <c r="G4" s="8">
        <v>200</v>
      </c>
      <c r="H4" s="8">
        <v>0</v>
      </c>
      <c r="I4" s="8">
        <v>0</v>
      </c>
      <c r="J4" s="8">
        <v>1</v>
      </c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ht="13.8" x14ac:dyDescent="0.25">
      <c r="A5" s="7"/>
      <c r="B5" s="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ht="13.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ht="13.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ht="13.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ht="13.8" x14ac:dyDescent="0.25">
      <c r="A9" s="8"/>
      <c r="B9" s="8"/>
      <c r="C9" s="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5"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5"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5"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5"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5"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5"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5:51" x14ac:dyDescent="0.25"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5:51" x14ac:dyDescent="0.25"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4"/>
  <sheetViews>
    <sheetView workbookViewId="0">
      <selection activeCell="B5" sqref="B5"/>
    </sheetView>
  </sheetViews>
  <sheetFormatPr defaultColWidth="9.109375" defaultRowHeight="13.8" x14ac:dyDescent="0.25"/>
  <cols>
    <col min="1" max="16384" width="9.109375" style="8"/>
  </cols>
  <sheetData>
    <row r="1" spans="1:19" x14ac:dyDescent="0.25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5">
      <c r="A2" s="8">
        <v>1</v>
      </c>
      <c r="B2" s="8">
        <v>1</v>
      </c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  <row r="3" spans="1:19" x14ac:dyDescent="0.25">
      <c r="A3" s="8">
        <v>2</v>
      </c>
      <c r="B3" s="8">
        <v>8</v>
      </c>
      <c r="C3" s="8">
        <v>17.068999999999999</v>
      </c>
      <c r="D3" s="8">
        <v>0.158</v>
      </c>
      <c r="E3" s="8">
        <v>1</v>
      </c>
      <c r="F3" s="8">
        <v>2</v>
      </c>
      <c r="G3" s="8">
        <v>2</v>
      </c>
      <c r="H3" s="8">
        <v>2</v>
      </c>
      <c r="I3" s="8">
        <v>0</v>
      </c>
      <c r="J3" s="8">
        <v>0.28000000000000003</v>
      </c>
      <c r="K3" s="8">
        <v>0.04</v>
      </c>
      <c r="L3" s="8">
        <v>0.28000000000000003</v>
      </c>
      <c r="M3" s="8">
        <v>0.12</v>
      </c>
      <c r="N3" s="8">
        <v>0</v>
      </c>
      <c r="O3" s="8">
        <v>2</v>
      </c>
      <c r="P3" s="8">
        <v>0</v>
      </c>
      <c r="Q3" s="8">
        <v>0.1</v>
      </c>
      <c r="R3" s="8">
        <v>1</v>
      </c>
      <c r="S3" s="8">
        <v>5</v>
      </c>
    </row>
    <row r="4" spans="1:19" x14ac:dyDescent="0.25">
      <c r="A4" s="8">
        <v>3</v>
      </c>
      <c r="B4" s="8">
        <v>11</v>
      </c>
      <c r="C4" s="8">
        <v>17.068999999999999</v>
      </c>
      <c r="D4" s="8">
        <v>0.158</v>
      </c>
      <c r="E4" s="8">
        <v>1</v>
      </c>
      <c r="F4" s="8">
        <v>2</v>
      </c>
      <c r="G4" s="8">
        <v>2</v>
      </c>
      <c r="H4" s="8">
        <v>2</v>
      </c>
      <c r="I4" s="8">
        <v>0</v>
      </c>
      <c r="J4" s="8">
        <v>0.28000000000000003</v>
      </c>
      <c r="K4" s="8">
        <v>0.04</v>
      </c>
      <c r="L4" s="8">
        <v>0.28000000000000003</v>
      </c>
      <c r="M4" s="8">
        <v>0.12</v>
      </c>
      <c r="N4" s="8">
        <v>0</v>
      </c>
      <c r="O4" s="8">
        <v>2</v>
      </c>
      <c r="P4" s="8">
        <v>0</v>
      </c>
      <c r="Q4" s="8">
        <v>0.1</v>
      </c>
      <c r="R4" s="8">
        <v>1</v>
      </c>
      <c r="S4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4"/>
  <sheetViews>
    <sheetView zoomScale="85" zoomScaleNormal="85" workbookViewId="0">
      <selection activeCell="C7" sqref="C7"/>
    </sheetView>
  </sheetViews>
  <sheetFormatPr defaultColWidth="9.109375" defaultRowHeight="13.8" x14ac:dyDescent="0.3"/>
  <cols>
    <col min="1" max="16384" width="9.109375" style="1"/>
  </cols>
  <sheetData>
    <row r="1" spans="1:19" x14ac:dyDescent="0.3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3">
      <c r="A2" s="1">
        <v>1</v>
      </c>
      <c r="B2" s="1">
        <v>1</v>
      </c>
      <c r="C2" s="1">
        <v>0.05</v>
      </c>
      <c r="D2" s="23">
        <v>0</v>
      </c>
      <c r="E2" s="23">
        <v>0</v>
      </c>
      <c r="F2">
        <v>0.1</v>
      </c>
      <c r="G2" s="1">
        <v>0</v>
      </c>
      <c r="H2">
        <v>0.3</v>
      </c>
      <c r="I2">
        <v>0</v>
      </c>
      <c r="J2">
        <v>0.3</v>
      </c>
      <c r="K2">
        <v>0</v>
      </c>
      <c r="L2">
        <v>0.4</v>
      </c>
      <c r="M2">
        <v>0</v>
      </c>
      <c r="N2">
        <v>0</v>
      </c>
      <c r="O2">
        <v>0</v>
      </c>
      <c r="P2" s="1">
        <v>0.3</v>
      </c>
      <c r="Q2" s="1">
        <v>7</v>
      </c>
      <c r="R2" s="1">
        <v>0.6</v>
      </c>
      <c r="S2" s="1">
        <v>0</v>
      </c>
    </row>
    <row r="3" spans="1:19" x14ac:dyDescent="0.3">
      <c r="A3" s="1">
        <v>2</v>
      </c>
      <c r="B3" s="1">
        <v>8</v>
      </c>
      <c r="C3" s="1">
        <v>0.05</v>
      </c>
      <c r="D3" s="23">
        <v>0</v>
      </c>
      <c r="E3" s="23">
        <v>0</v>
      </c>
      <c r="F3">
        <v>0.1</v>
      </c>
      <c r="G3" s="1">
        <v>0</v>
      </c>
      <c r="H3">
        <v>0.3</v>
      </c>
      <c r="I3">
        <v>0</v>
      </c>
      <c r="J3">
        <v>0.3</v>
      </c>
      <c r="K3">
        <v>0</v>
      </c>
      <c r="L3">
        <v>0.4</v>
      </c>
      <c r="M3">
        <v>0</v>
      </c>
      <c r="N3">
        <v>0</v>
      </c>
      <c r="O3">
        <v>0</v>
      </c>
      <c r="P3" s="1">
        <v>0.3</v>
      </c>
      <c r="Q3" s="1">
        <v>7</v>
      </c>
      <c r="R3" s="1">
        <v>0.6</v>
      </c>
      <c r="S3" s="1">
        <v>0</v>
      </c>
    </row>
    <row r="4" spans="1:19" x14ac:dyDescent="0.3">
      <c r="A4" s="1">
        <v>3</v>
      </c>
      <c r="B4" s="1">
        <v>11</v>
      </c>
      <c r="C4" s="1">
        <v>0.05</v>
      </c>
      <c r="D4" s="23">
        <v>0</v>
      </c>
      <c r="E4" s="23">
        <v>0</v>
      </c>
      <c r="F4">
        <v>0.1</v>
      </c>
      <c r="G4" s="1">
        <v>0</v>
      </c>
      <c r="H4">
        <v>0.3</v>
      </c>
      <c r="I4">
        <v>0</v>
      </c>
      <c r="J4">
        <v>0.3</v>
      </c>
      <c r="K4">
        <v>0</v>
      </c>
      <c r="L4">
        <v>0.4</v>
      </c>
      <c r="M4">
        <v>0</v>
      </c>
      <c r="N4">
        <v>0</v>
      </c>
      <c r="O4">
        <v>0</v>
      </c>
      <c r="P4" s="1">
        <v>0.3</v>
      </c>
      <c r="Q4" s="1">
        <v>7</v>
      </c>
      <c r="R4" s="1">
        <v>0.6</v>
      </c>
      <c r="S4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4"/>
  <sheetViews>
    <sheetView workbookViewId="0">
      <selection activeCell="B5" sqref="B5"/>
    </sheetView>
  </sheetViews>
  <sheetFormatPr defaultColWidth="9.109375" defaultRowHeight="13.8" x14ac:dyDescent="0.3"/>
  <cols>
    <col min="1" max="16384" width="9.109375" style="1"/>
  </cols>
  <sheetData>
    <row r="1" spans="1:5" x14ac:dyDescent="0.3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3">
      <c r="A2" s="29">
        <v>1</v>
      </c>
      <c r="B2" s="29">
        <v>1</v>
      </c>
      <c r="C2" s="1">
        <v>0.05</v>
      </c>
      <c r="D2" s="1">
        <v>0.25</v>
      </c>
      <c r="E2" s="1">
        <v>5</v>
      </c>
    </row>
    <row r="3" spans="1:5" x14ac:dyDescent="0.3">
      <c r="A3" s="2">
        <v>2</v>
      </c>
      <c r="B3" s="2">
        <v>8</v>
      </c>
      <c r="C3" s="1">
        <v>0.05</v>
      </c>
      <c r="D3" s="1">
        <v>0.25</v>
      </c>
      <c r="E3" s="1">
        <v>5</v>
      </c>
    </row>
    <row r="4" spans="1:5" x14ac:dyDescent="0.3">
      <c r="A4" s="29">
        <v>3</v>
      </c>
      <c r="B4" s="29">
        <v>11</v>
      </c>
      <c r="C4" s="1">
        <v>0.05</v>
      </c>
      <c r="D4" s="1">
        <v>0.25</v>
      </c>
      <c r="E4" s="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4"/>
  <sheetViews>
    <sheetView tabSelected="1" zoomScale="85" zoomScaleNormal="85" workbookViewId="0">
      <selection activeCell="A5" sqref="A5"/>
    </sheetView>
  </sheetViews>
  <sheetFormatPr defaultColWidth="9.109375" defaultRowHeight="13.8" x14ac:dyDescent="0.3"/>
  <cols>
    <col min="1" max="16384" width="9.109375" style="1"/>
  </cols>
  <sheetData>
    <row r="1" spans="1:25" x14ac:dyDescent="0.3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3">
      <c r="A2" s="1">
        <v>1</v>
      </c>
      <c r="B2" s="1">
        <v>1</v>
      </c>
      <c r="C2" s="24">
        <f>0.855*1.3</f>
        <v>1.1114999999999999</v>
      </c>
      <c r="D2" s="24">
        <f>1.192*1.3</f>
        <v>1.5496000000000001</v>
      </c>
      <c r="E2" s="24">
        <f>1.155*1.3</f>
        <v>1.5015000000000001</v>
      </c>
      <c r="F2" s="24">
        <f>0.232*1.3</f>
        <v>0.30160000000000003</v>
      </c>
      <c r="G2" s="24">
        <f>0.124*1.3</f>
        <v>0.16120000000000001</v>
      </c>
      <c r="H2" s="1">
        <v>0.05</v>
      </c>
      <c r="I2" s="25">
        <v>0.1</v>
      </c>
      <c r="J2" s="26">
        <v>10</v>
      </c>
      <c r="K2" s="26">
        <v>3.3</v>
      </c>
      <c r="L2" s="26">
        <v>0.5</v>
      </c>
      <c r="M2" s="26">
        <v>0.3</v>
      </c>
      <c r="N2" s="26">
        <v>0.3</v>
      </c>
      <c r="O2" s="26">
        <v>0.2</v>
      </c>
      <c r="P2" s="26">
        <v>0.2</v>
      </c>
      <c r="Q2" s="26">
        <v>62.3</v>
      </c>
      <c r="R2" s="26">
        <v>75.599999999999994</v>
      </c>
      <c r="S2" s="26">
        <v>48.4</v>
      </c>
      <c r="T2" s="26">
        <v>21.8</v>
      </c>
      <c r="U2" s="27">
        <v>0</v>
      </c>
      <c r="V2" s="27">
        <f>0.3104*8</f>
        <v>2.4832000000000001</v>
      </c>
      <c r="W2" s="27">
        <f>0.05*8</f>
        <v>0.4</v>
      </c>
      <c r="X2" s="27">
        <v>0.5</v>
      </c>
      <c r="Y2" s="27">
        <v>0.5</v>
      </c>
    </row>
    <row r="3" spans="1:25" x14ac:dyDescent="0.3">
      <c r="A3" s="1">
        <v>2</v>
      </c>
      <c r="B3" s="1">
        <v>8</v>
      </c>
      <c r="C3" s="24">
        <f t="shared" ref="C3:C4" si="0">0.855*1.3</f>
        <v>1.1114999999999999</v>
      </c>
      <c r="D3" s="24">
        <f t="shared" ref="D3:D4" si="1">1.192*1.3</f>
        <v>1.5496000000000001</v>
      </c>
      <c r="E3" s="24">
        <f t="shared" ref="E3:E4" si="2">1.155*1.3</f>
        <v>1.5015000000000001</v>
      </c>
      <c r="F3" s="24">
        <f t="shared" ref="F3:F4" si="3">0.232*1.3</f>
        <v>0.30160000000000003</v>
      </c>
      <c r="G3" s="24">
        <f t="shared" ref="G3:G4" si="4">0.124*1.3</f>
        <v>0.16120000000000001</v>
      </c>
      <c r="H3" s="1">
        <v>0.05</v>
      </c>
      <c r="I3" s="25">
        <v>0.1</v>
      </c>
      <c r="J3" s="26">
        <v>10</v>
      </c>
      <c r="K3" s="26">
        <v>3.3</v>
      </c>
      <c r="L3" s="26">
        <v>0.5</v>
      </c>
      <c r="M3" s="26">
        <v>0.3</v>
      </c>
      <c r="N3" s="26">
        <v>0.3</v>
      </c>
      <c r="O3" s="26">
        <v>0.2</v>
      </c>
      <c r="P3" s="26">
        <v>0.2</v>
      </c>
      <c r="Q3" s="26">
        <v>62.3</v>
      </c>
      <c r="R3" s="26">
        <v>75.599999999999994</v>
      </c>
      <c r="S3" s="26">
        <v>48.4</v>
      </c>
      <c r="T3" s="26">
        <v>21.8</v>
      </c>
      <c r="U3" s="27">
        <v>0</v>
      </c>
      <c r="V3" s="27">
        <f t="shared" ref="V3:V4" si="5">0.3104*8</f>
        <v>2.4832000000000001</v>
      </c>
      <c r="W3" s="27">
        <f t="shared" ref="W3:W4" si="6">0.05*8</f>
        <v>0.4</v>
      </c>
      <c r="X3" s="27">
        <v>0.5</v>
      </c>
      <c r="Y3" s="27">
        <v>0.5</v>
      </c>
    </row>
    <row r="4" spans="1:25" x14ac:dyDescent="0.3">
      <c r="A4" s="1">
        <v>3</v>
      </c>
      <c r="B4" s="1">
        <v>11</v>
      </c>
      <c r="C4" s="24">
        <f t="shared" si="0"/>
        <v>1.1114999999999999</v>
      </c>
      <c r="D4" s="24">
        <f t="shared" si="1"/>
        <v>1.5496000000000001</v>
      </c>
      <c r="E4" s="24">
        <f t="shared" si="2"/>
        <v>1.5015000000000001</v>
      </c>
      <c r="F4" s="24">
        <f t="shared" si="3"/>
        <v>0.30160000000000003</v>
      </c>
      <c r="G4" s="24">
        <f t="shared" si="4"/>
        <v>0.16120000000000001</v>
      </c>
      <c r="H4" s="1">
        <v>0.05</v>
      </c>
      <c r="I4" s="25">
        <v>0.1</v>
      </c>
      <c r="J4" s="26">
        <v>10</v>
      </c>
      <c r="K4" s="26">
        <v>3.3</v>
      </c>
      <c r="L4" s="26">
        <v>0.5</v>
      </c>
      <c r="M4" s="26">
        <v>0.3</v>
      </c>
      <c r="N4" s="26">
        <v>0.3</v>
      </c>
      <c r="O4" s="26">
        <v>0.2</v>
      </c>
      <c r="P4" s="26">
        <v>0.2</v>
      </c>
      <c r="Q4" s="26">
        <v>62.3</v>
      </c>
      <c r="R4" s="26">
        <v>75.599999999999994</v>
      </c>
      <c r="S4" s="26">
        <v>48.4</v>
      </c>
      <c r="T4" s="26">
        <v>21.8</v>
      </c>
      <c r="U4" s="27">
        <v>0</v>
      </c>
      <c r="V4" s="27">
        <f t="shared" si="5"/>
        <v>2.4832000000000001</v>
      </c>
      <c r="W4" s="27">
        <f t="shared" si="6"/>
        <v>0.4</v>
      </c>
      <c r="X4" s="27">
        <v>0.5</v>
      </c>
      <c r="Y4" s="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2024-04-03T15:11:01Z</dcterms:modified>
  <dc:language>en-US</dc:language>
</cp:coreProperties>
</file>