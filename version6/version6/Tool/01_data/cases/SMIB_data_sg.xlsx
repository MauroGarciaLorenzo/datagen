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8_{38BCFAEE-257C-44F0-AC14-F4EF1BFBD77C}" xr6:coauthVersionLast="47" xr6:coauthVersionMax="47" xr10:uidLastSave="{00000000-0000-0000-0000-000000000000}"/>
  <bookViews>
    <workbookView xWindow="-120" yWindow="-120" windowWidth="38640" windowHeight="21120" tabRatio="922" firstSheet="1" activeTab="5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24" l="1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<sst xmlns="http://schemas.openxmlformats.org/spreadsheetml/2006/main" count="108" uniqueCount="76">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</sst>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/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RowHeight="12.75" x14ac:dyDescent="0.2"/>
  <cols>
    <col min="1" max="2" width="9.140625" style="4"/>
    <col min="3" max="3" width="13.5703125" style="4" bestFit="1" customWidth="1"/>
    <col min="4" max="16384" width="9.140625" style="4"/>
  </cols>
  <sheetData>
    <row r="1" spans="1:3" x14ac:dyDescent="0.2">
      <c r="A1" s="13" t="s">
        <v>63</v>
      </c>
      <c r="B1" s="19" t="s">
        <v>64</v>
      </c>
      <c r="C1" s="17" t="s">
        <v>65</v>
      </c>
    </row>
    <row r="2" spans="1:3" x14ac:dyDescent="0.2">
      <c r="A2" s="4" t="s">
        <v>66</v>
      </c>
      <c r="B2" s="4" t="s">
        <v>69</v>
      </c>
      <c r="C2" s="4" t="s">
        <v>70</v>
      </c>
    </row>
    <row r="3" spans="1:3" x14ac:dyDescent="0.2">
      <c r="A3" s="4" t="s">
        <v>67</v>
      </c>
      <c r="C3" s="4" t="s">
        <v>71</v>
      </c>
    </row>
    <row r="4" spans="1:3" x14ac:dyDescent="0.2">
      <c r="A4" s="4" t="s">
        <v>68</v>
      </c>
      <c r="C4" s="4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5"/>
  <sheetViews>
    <sheetView zoomScaleNormal="100" workbookViewId="0">
      <selection activeCell="D6" sqref="D6"/>
    </sheetView>
  </sheetViews>
  <sheetFormatPr defaultColWidth="8.7109375" defaultRowHeight="12.75" x14ac:dyDescent="0.2"/>
  <cols>
    <col min="1" max="2" width="6.7109375" style="4" customWidth="1"/>
    <col min="3" max="3" width="7.85546875" style="4" bestFit="1" customWidth="1"/>
    <col min="4" max="53" width="6.7109375" style="1" customWidth="1"/>
    <col min="54" max="16384" width="8.7109375" style="1"/>
  </cols>
  <sheetData>
    <row r="1" spans="1:52" s="8" customFormat="1" x14ac:dyDescent="0.2">
      <c r="A1" s="6" t="s">
        <v>2</v>
      </c>
      <c r="B1" s="6" t="s">
        <v>0</v>
      </c>
      <c r="C1" s="20" t="s">
        <v>31</v>
      </c>
      <c r="D1" s="10" t="s">
        <v>27</v>
      </c>
      <c r="E1" s="10" t="s">
        <v>28</v>
      </c>
      <c r="F1" s="10" t="s">
        <v>29</v>
      </c>
      <c r="G1" s="10" t="s">
        <v>30</v>
      </c>
      <c r="H1" s="7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7"/>
      <c r="W1" s="7"/>
      <c r="X1" s="7"/>
      <c r="Y1" s="7"/>
      <c r="Z1" s="7"/>
      <c r="AA1" s="7"/>
      <c r="AB1" s="7"/>
      <c r="AC1" s="7"/>
      <c r="AD1" s="7"/>
      <c r="AE1" s="11"/>
      <c r="AF1" s="11"/>
      <c r="AG1" s="11"/>
      <c r="AH1" s="11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2">
      <c r="A2" s="29">
        <v>1</v>
      </c>
      <c r="B2" s="29">
        <v>1</v>
      </c>
      <c r="C2" s="28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29"/>
      <c r="B3" s="29"/>
      <c r="C3" s="2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29"/>
      <c r="B4" s="29"/>
      <c r="C4" s="2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3"/>
      <c r="B5" s="3"/>
      <c r="C5" s="3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2"/>
      <c r="AY5" s="2"/>
      <c r="AZ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5"/>
  <sheetViews>
    <sheetView zoomScaleNormal="100" workbookViewId="0">
      <selection activeCell="S11" sqref="S11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34" x14ac:dyDescent="0.2">
      <c r="A1" s="5" t="s">
        <v>2</v>
      </c>
      <c r="B1" s="5" t="s">
        <v>0</v>
      </c>
      <c r="C1" s="13" t="s">
        <v>31</v>
      </c>
      <c r="D1" s="13" t="s">
        <v>32</v>
      </c>
      <c r="E1" s="13" t="s">
        <v>33</v>
      </c>
      <c r="F1" s="13" t="s">
        <v>28</v>
      </c>
      <c r="G1" s="13" t="s">
        <v>34</v>
      </c>
      <c r="H1" s="13" t="s">
        <v>75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9"/>
      <c r="O1" s="9"/>
      <c r="P1" s="9"/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2">
      <c r="A2" s="4">
        <v>1</v>
      </c>
      <c r="B2" s="3">
        <v>4</v>
      </c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2">
      <c r="A3" s="3"/>
      <c r="B3" s="3"/>
      <c r="C3" s="2"/>
      <c r="D3" s="2"/>
    </row>
    <row r="4" spans="1:34" x14ac:dyDescent="0.2">
      <c r="A4" s="3"/>
      <c r="B4" s="3"/>
      <c r="C4" s="3"/>
      <c r="D4" s="2"/>
    </row>
    <row r="5" spans="1:34" x14ac:dyDescent="0.2">
      <c r="A5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18"/>
  <sheetViews>
    <sheetView zoomScaleNormal="100" workbookViewId="0">
      <selection activeCell="J10" sqref="J10"/>
    </sheetView>
  </sheetViews>
  <sheetFormatPr defaultRowHeight="12.75" x14ac:dyDescent="0.2"/>
  <cols>
    <col min="1" max="16384" width="9.140625" style="21"/>
  </cols>
  <sheetData>
    <row r="1" spans="1:51" x14ac:dyDescent="0.2">
      <c r="A1" s="6" t="s">
        <v>2</v>
      </c>
      <c r="B1" s="6" t="s">
        <v>0</v>
      </c>
      <c r="C1" s="20" t="s">
        <v>31</v>
      </c>
      <c r="D1" s="20" t="s">
        <v>28</v>
      </c>
      <c r="E1" s="20" t="s">
        <v>29</v>
      </c>
      <c r="F1" s="20" t="s">
        <v>30</v>
      </c>
      <c r="G1" s="20" t="s">
        <v>27</v>
      </c>
      <c r="H1" s="20" t="s">
        <v>38</v>
      </c>
      <c r="I1" s="20" t="s">
        <v>73</v>
      </c>
      <c r="J1" s="20" t="s">
        <v>74</v>
      </c>
      <c r="K1" s="8"/>
      <c r="L1" s="8"/>
      <c r="U1" s="8"/>
      <c r="V1" s="8"/>
      <c r="W1" s="8"/>
      <c r="X1" s="8"/>
      <c r="Y1" s="8"/>
      <c r="Z1" s="8"/>
      <c r="AA1" s="8"/>
      <c r="AB1" s="8"/>
      <c r="AC1" s="8"/>
      <c r="AD1" s="11"/>
      <c r="AE1" s="11"/>
      <c r="AF1" s="11"/>
      <c r="AG1" s="11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">
      <c r="A2" s="8">
        <v>1</v>
      </c>
      <c r="B2" s="7">
        <v>4</v>
      </c>
      <c r="C2" s="8">
        <v>0.01</v>
      </c>
      <c r="D2" s="8">
        <v>0</v>
      </c>
      <c r="E2" s="8">
        <v>10</v>
      </c>
      <c r="F2" s="8">
        <v>1</v>
      </c>
      <c r="G2" s="8">
        <v>200</v>
      </c>
      <c r="H2" s="8">
        <v>0</v>
      </c>
      <c r="I2" s="8">
        <v>0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">
      <c r="A3" s="7"/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">
      <c r="A5" s="7"/>
      <c r="B5" s="7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7"/>
      <c r="AX5" s="7"/>
      <c r="AY5" s="7"/>
    </row>
    <row r="6" spans="1:5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">
      <c r="A9" s="8"/>
      <c r="B9" s="8"/>
      <c r="C9" s="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"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x14ac:dyDescent="0.2"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x14ac:dyDescent="0.2"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x14ac:dyDescent="0.2"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x14ac:dyDescent="0.2"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2"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x14ac:dyDescent="0.2"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5:51" x14ac:dyDescent="0.2"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5:51" x14ac:dyDescent="0.2"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2"/>
  <sheetViews>
    <sheetView workbookViewId="0">
      <selection activeCell="C2" sqref="C2"/>
    </sheetView>
  </sheetViews>
  <sheetFormatPr defaultRowHeight="12.75" x14ac:dyDescent="0.2"/>
  <cols>
    <col min="1" max="16384" width="9.140625" style="8"/>
  </cols>
  <sheetData>
    <row r="1" spans="1:19" x14ac:dyDescent="0.2">
      <c r="A1" s="6" t="s">
        <v>2</v>
      </c>
      <c r="B1" s="6" t="s">
        <v>0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10</v>
      </c>
      <c r="L1" s="15" t="s">
        <v>11</v>
      </c>
      <c r="M1" s="15" t="s">
        <v>12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</row>
    <row r="2" spans="1:19" x14ac:dyDescent="0.2">
      <c r="A2" s="8">
        <v>1</v>
      </c>
      <c r="B2" s="8">
        <v>4</v>
      </c>
      <c r="C2" s="8">
        <v>17.068999999999999</v>
      </c>
      <c r="D2" s="8">
        <v>0.158</v>
      </c>
      <c r="E2" s="8">
        <v>1</v>
      </c>
      <c r="F2" s="8">
        <v>2</v>
      </c>
      <c r="G2" s="8">
        <v>2</v>
      </c>
      <c r="H2" s="8">
        <v>2</v>
      </c>
      <c r="I2" s="8">
        <v>0</v>
      </c>
      <c r="J2" s="8">
        <v>0.28000000000000003</v>
      </c>
      <c r="K2" s="8">
        <v>0.04</v>
      </c>
      <c r="L2" s="8">
        <v>0.28000000000000003</v>
      </c>
      <c r="M2" s="8">
        <v>0.12</v>
      </c>
      <c r="N2" s="8">
        <v>0</v>
      </c>
      <c r="O2" s="8">
        <v>2</v>
      </c>
      <c r="P2" s="8">
        <v>0</v>
      </c>
      <c r="Q2" s="8">
        <v>0.1</v>
      </c>
      <c r="R2" s="8">
        <v>1</v>
      </c>
      <c r="S2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2"/>
  <sheetViews>
    <sheetView tabSelected="1" zoomScale="85" zoomScaleNormal="85" workbookViewId="0">
      <selection activeCell="D6" sqref="D6"/>
    </sheetView>
  </sheetViews>
  <sheetFormatPr defaultRowHeight="12.75" x14ac:dyDescent="0.2"/>
  <cols>
    <col min="1" max="16384" width="9.140625" style="1"/>
  </cols>
  <sheetData>
    <row r="1" spans="1:19" x14ac:dyDescent="0.2">
      <c r="A1" s="5" t="s">
        <v>2</v>
      </c>
      <c r="B1" s="5" t="s">
        <v>0</v>
      </c>
      <c r="C1" s="14" t="s">
        <v>1</v>
      </c>
      <c r="D1" s="16" t="s">
        <v>47</v>
      </c>
      <c r="E1" s="16" t="s">
        <v>10</v>
      </c>
      <c r="F1" s="16" t="s">
        <v>11</v>
      </c>
      <c r="G1" s="16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12</v>
      </c>
      <c r="Q1" s="17" t="s">
        <v>13</v>
      </c>
      <c r="R1" s="17" t="s">
        <v>48</v>
      </c>
      <c r="S1" s="17" t="s">
        <v>49</v>
      </c>
    </row>
    <row r="2" spans="1:19" x14ac:dyDescent="0.2">
      <c r="A2" s="1">
        <v>1</v>
      </c>
      <c r="B2" s="1">
        <v>1</v>
      </c>
      <c r="C2" s="1">
        <v>0.05</v>
      </c>
      <c r="D2" s="23">
        <v>0</v>
      </c>
      <c r="E2" s="23">
        <v>0</v>
      </c>
      <c r="F2">
        <v>0.1</v>
      </c>
      <c r="G2" s="1">
        <v>0</v>
      </c>
      <c r="H2">
        <v>0.3</v>
      </c>
      <c r="I2">
        <v>0</v>
      </c>
      <c r="J2">
        <v>0.3</v>
      </c>
      <c r="K2">
        <v>0</v>
      </c>
      <c r="L2">
        <v>0.4</v>
      </c>
      <c r="M2">
        <v>0</v>
      </c>
      <c r="N2">
        <v>0</v>
      </c>
      <c r="O2">
        <v>0</v>
      </c>
      <c r="P2" s="1">
        <v>0.3</v>
      </c>
      <c r="Q2" s="1">
        <v>7</v>
      </c>
      <c r="R2" s="1">
        <v>0.6</v>
      </c>
      <c r="S2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4"/>
  <sheetViews>
    <sheetView workbookViewId="0">
      <selection activeCell="B4" sqref="B4"/>
    </sheetView>
  </sheetViews>
  <sheetFormatPr defaultRowHeight="12.75" x14ac:dyDescent="0.2"/>
  <cols>
    <col min="1" max="16384" width="9.140625" style="1"/>
  </cols>
  <sheetData>
    <row r="1" spans="1:5" x14ac:dyDescent="0.2">
      <c r="A1" s="5" t="s">
        <v>2</v>
      </c>
      <c r="B1" s="5" t="s">
        <v>0</v>
      </c>
      <c r="C1" s="14" t="s">
        <v>1</v>
      </c>
      <c r="D1" s="12" t="s">
        <v>3</v>
      </c>
      <c r="E1" s="12" t="s">
        <v>4</v>
      </c>
    </row>
    <row r="2" spans="1:5" x14ac:dyDescent="0.2">
      <c r="A2" s="29">
        <v>1</v>
      </c>
      <c r="B2" s="29">
        <v>4</v>
      </c>
      <c r="C2" s="1">
        <v>0.05</v>
      </c>
      <c r="D2" s="1">
        <v>0.25</v>
      </c>
      <c r="E2" s="1">
        <v>5</v>
      </c>
    </row>
    <row r="3" spans="1:5" x14ac:dyDescent="0.2">
      <c r="A3" s="2">
        <v>2</v>
      </c>
      <c r="B3" s="2">
        <v>1</v>
      </c>
      <c r="C3" s="1">
        <v>0.05</v>
      </c>
      <c r="D3" s="1">
        <v>0.25</v>
      </c>
      <c r="E3" s="1">
        <v>5</v>
      </c>
    </row>
    <row r="4" spans="1:5" x14ac:dyDescent="0.2">
      <c r="A4" s="29"/>
      <c r="B4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2"/>
  <sheetViews>
    <sheetView zoomScale="85" zoomScaleNormal="85" workbookViewId="0">
      <selection activeCell="F19" sqref="F19"/>
    </sheetView>
  </sheetViews>
  <sheetFormatPr defaultRowHeight="12.75" x14ac:dyDescent="0.2"/>
  <cols>
    <col min="1" max="16384" width="9.140625" style="1"/>
  </cols>
  <sheetData>
    <row r="1" spans="1:25" x14ac:dyDescent="0.2">
      <c r="A1" s="5" t="s">
        <v>2</v>
      </c>
      <c r="B1" s="5" t="s">
        <v>0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4" t="s">
        <v>1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</row>
    <row r="2" spans="1:25" x14ac:dyDescent="0.2">
      <c r="C2" s="24">
        <f>0.855*1.3</f>
        <v>1.1114999999999999</v>
      </c>
      <c r="D2" s="24">
        <f>1.192*1.3</f>
        <v>1.5496000000000001</v>
      </c>
      <c r="E2" s="24">
        <f>1.155*1.3</f>
        <v>1.5015000000000001</v>
      </c>
      <c r="F2" s="24">
        <f>0.232*1.3</f>
        <v>0.30160000000000003</v>
      </c>
      <c r="G2" s="24">
        <f>0.124*1.3</f>
        <v>0.16120000000000001</v>
      </c>
      <c r="H2" s="1">
        <v>0.05</v>
      </c>
      <c r="I2" s="25">
        <v>0.1</v>
      </c>
      <c r="J2" s="26">
        <v>10</v>
      </c>
      <c r="K2" s="26">
        <v>3.3</v>
      </c>
      <c r="L2" s="26">
        <v>0.5</v>
      </c>
      <c r="M2" s="26">
        <v>0.3</v>
      </c>
      <c r="N2" s="26">
        <v>0.3</v>
      </c>
      <c r="O2" s="26">
        <v>0.2</v>
      </c>
      <c r="P2" s="26">
        <v>0.2</v>
      </c>
      <c r="Q2" s="26">
        <v>62.3</v>
      </c>
      <c r="R2" s="26">
        <v>75.599999999999994</v>
      </c>
      <c r="S2" s="26">
        <v>48.4</v>
      </c>
      <c r="T2" s="26">
        <v>21.8</v>
      </c>
      <c r="U2" s="27">
        <v>0</v>
      </c>
      <c r="V2" s="27">
        <f>0.3104*8</f>
        <v>2.4832000000000001</v>
      </c>
      <c r="W2" s="27">
        <f>0.05*8</f>
        <v>0.4</v>
      </c>
      <c r="X2" s="27">
        <v>0.5</v>
      </c>
      <c r="Y2" s="2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mout</dc:creator>
  <dc:description/>
  <cp:lastModifiedBy>dion mout</cp:lastModifiedBy>
  <cp:revision>31</cp:revision>
  <dcterms:created xsi:type="dcterms:W3CDTF">2022-02-25T19:10:54Z</dcterms:created>
  <dcterms:modified xsi:type="dcterms:W3CDTF">2024-07-08T13:59:44Z</dcterms:modified>
  <dc:language>en-US</dc:language>
</cp:coreProperties>
</file>