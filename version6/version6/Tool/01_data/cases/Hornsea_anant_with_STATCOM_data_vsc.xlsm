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Shared drives\CITCEA.PRJ_210_HYOSUNG_Jeju\SS_Tool_General_Repository\testitng\Tool\01_data\cases\"/>
    </mc:Choice>
  </mc:AlternateContent>
  <xr:revisionPtr revIDLastSave="0" documentId="13_ncr:1_{0C6DB78F-8C62-4573-99A0-737F66CD006E}" xr6:coauthVersionLast="47" xr6:coauthVersionMax="47" xr10:uidLastSave="{00000000-0000-0000-0000-000000000000}"/>
  <bookViews>
    <workbookView xWindow="-28920" yWindow="3990" windowWidth="29040" windowHeight="15840" tabRatio="922" xr2:uid="{00000000-000D-0000-FFFF-FFFF00000000}"/>
  </bookViews>
  <sheets>
    <sheet name="STATCOM" sheetId="4" r:id="rId1"/>
    <sheet name="GFOL" sheetId="19" r:id="rId2"/>
    <sheet name="GFOR" sheetId="20" r:id="rId3"/>
    <sheet name="MMC-Pac-GFll" sheetId="21" r:id="rId4"/>
    <sheet name="MMC-Vdc-GFll" sheetId="22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2" i="4" l="1"/>
  <c r="O2" i="4"/>
  <c r="M7" i="19" l="1"/>
  <c r="L7" i="19"/>
  <c r="M6" i="19"/>
  <c r="L6" i="19"/>
  <c r="M5" i="19"/>
  <c r="L5" i="19"/>
  <c r="M4" i="19"/>
  <c r="L4" i="19"/>
  <c r="M3" i="19"/>
  <c r="L3" i="19"/>
  <c r="M2" i="19"/>
  <c r="L2" i="19"/>
  <c r="J7" i="19"/>
  <c r="J6" i="19"/>
  <c r="J5" i="19"/>
  <c r="J4" i="19"/>
  <c r="J3" i="19"/>
  <c r="J2" i="19"/>
  <c r="I7" i="19"/>
  <c r="I6" i="19"/>
  <c r="I5" i="19"/>
  <c r="I4" i="19"/>
  <c r="I3" i="19"/>
  <c r="I2" i="19"/>
  <c r="N7" i="19" l="1"/>
  <c r="N6" i="19"/>
  <c r="N5" i="19"/>
  <c r="N4" i="19"/>
  <c r="N3" i="19"/>
  <c r="N2" i="19" l="1"/>
</calcChain>
</file>

<file path=xl/sharedStrings.xml><?xml version="1.0" encoding="utf-8"?>
<sst xmlns="http://schemas.openxmlformats.org/spreadsheetml/2006/main" count="129" uniqueCount="62">
  <si>
    <t>bus</t>
  </si>
  <si>
    <t>number</t>
  </si>
  <si>
    <t>trafo</t>
  </si>
  <si>
    <t>kpPLL</t>
  </si>
  <si>
    <t>kiPLL</t>
  </si>
  <si>
    <t>kpIs</t>
  </si>
  <si>
    <t>kiIs</t>
  </si>
  <si>
    <t>tVac</t>
  </si>
  <si>
    <t>delay</t>
  </si>
  <si>
    <t>tQ</t>
  </si>
  <si>
    <t>kpVac</t>
  </si>
  <si>
    <t>kiQ</t>
  </si>
  <si>
    <t>kpQ</t>
  </si>
  <si>
    <t>kiVdc</t>
  </si>
  <si>
    <t>kpVdc</t>
  </si>
  <si>
    <t>kiEt</t>
  </si>
  <si>
    <t>kpEt</t>
  </si>
  <si>
    <t>kiIsum</t>
  </si>
  <si>
    <t>kpIsum</t>
  </si>
  <si>
    <t>Ltrafo</t>
  </si>
  <si>
    <t>Rtrafo</t>
  </si>
  <si>
    <t>La</t>
  </si>
  <si>
    <t>Ra</t>
  </si>
  <si>
    <t>Lc</t>
  </si>
  <si>
    <t>Rc</t>
  </si>
  <si>
    <t>Carm</t>
  </si>
  <si>
    <t>Sn</t>
  </si>
  <si>
    <t>Vn</t>
  </si>
  <si>
    <t>vDC</t>
  </si>
  <si>
    <t>f</t>
  </si>
  <si>
    <t>join_trafo</t>
  </si>
  <si>
    <t>tPac</t>
  </si>
  <si>
    <t>kiPac</t>
  </si>
  <si>
    <t>kpPac</t>
  </si>
  <si>
    <t>Xc</t>
  </si>
  <si>
    <t>Bac</t>
  </si>
  <si>
    <t>tau_s</t>
  </si>
  <si>
    <t>set_time_v</t>
  </si>
  <si>
    <t>xi_v</t>
  </si>
  <si>
    <t>tau_u</t>
  </si>
  <si>
    <t>tau_ig</t>
  </si>
  <si>
    <t>k_droop_f</t>
  </si>
  <si>
    <t>tau_droop_f</t>
  </si>
  <si>
    <t>k_droop_u</t>
  </si>
  <si>
    <t>tau_droop_u</t>
  </si>
  <si>
    <t>Rtr</t>
  </si>
  <si>
    <t>Xtr</t>
  </si>
  <si>
    <t>ts_pll</t>
  </si>
  <si>
    <t>xi_pll</t>
  </si>
  <si>
    <t>tau_p</t>
  </si>
  <si>
    <t>tau_q</t>
  </si>
  <si>
    <t>tau_md</t>
  </si>
  <si>
    <t>tau_cmd</t>
  </si>
  <si>
    <t>tau_zoh</t>
  </si>
  <si>
    <t>Rac</t>
  </si>
  <si>
    <t>Ceq</t>
  </si>
  <si>
    <t>POD</t>
  </si>
  <si>
    <t>T</t>
  </si>
  <si>
    <t>TLPF</t>
  </si>
  <si>
    <t>T1</t>
  </si>
  <si>
    <t>T2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</si>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</sst>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4" x14ac:knownFonts="1">
    <font>
      <sz val="10"/>
      <name val="Arial"/>
      <family val="2"/>
      <charset val="1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/>
    <xf numFmtId="0" fontId="1" fillId="2" borderId="0" xfId="0" applyFont="1" applyFill="1"/>
    <xf numFmtId="11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2" fontId="1" fillId="0" borderId="0" xfId="0" applyNumberFormat="1" applyFont="1"/>
    <xf numFmtId="0" fontId="1" fillId="3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right"/>
    </xf>
    <xf numFmtId="165" fontId="1" fillId="0" borderId="0" xfId="0" applyNumberFormat="1" applyFont="1" applyAlignment="1">
      <alignment horizontal="center" vertical="center"/>
    </xf>
    <xf numFmtId="11" fontId="1" fillId="0" borderId="0" xfId="0" applyNumberFormat="1" applyFont="1"/>
    <xf numFmtId="0" fontId="1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theme="0" tint="-0.14999847407452621"/>
  </sheetPr>
  <dimension ref="A1:AY5"/>
  <sheetViews>
    <sheetView tabSelected="1" zoomScaleNormal="100" workbookViewId="0">
      <selection activeCell="R3" sqref="R3"/>
    </sheetView>
  </sheetViews>
  <sheetFormatPr defaultColWidth="8.6640625" defaultRowHeight="13.8" x14ac:dyDescent="0.3"/>
  <cols>
    <col min="1" max="2" width="6.6640625" style="4" customWidth="1"/>
    <col min="3" max="8" width="6.6640625" style="1" customWidth="1"/>
    <col min="9" max="9" width="26.88671875" style="1" customWidth="1"/>
    <col min="10" max="10" width="18.44140625" style="1" customWidth="1"/>
    <col min="11" max="11" width="7.88671875" style="1" bestFit="1" customWidth="1"/>
    <col min="12" max="14" width="6.6640625" style="1" customWidth="1"/>
    <col min="15" max="15" width="20" style="1" customWidth="1"/>
    <col min="16" max="16" width="15.5546875" style="1" customWidth="1"/>
    <col min="17" max="17" width="12.88671875" style="1" customWidth="1"/>
    <col min="18" max="18" width="16.44140625" style="1" customWidth="1"/>
    <col min="19" max="21" width="6.6640625" style="1" customWidth="1"/>
    <col min="22" max="25" width="6.6640625" style="1" hidden="1" customWidth="1"/>
    <col min="26" max="52" width="6.6640625" style="1" customWidth="1"/>
    <col min="53" max="16384" width="8.6640625" style="1"/>
  </cols>
  <sheetData>
    <row r="1" spans="1:51" s="8" customFormat="1" x14ac:dyDescent="0.3">
      <c r="A1" s="5" t="s">
        <v>1</v>
      </c>
      <c r="B1" s="5" t="s">
        <v>0</v>
      </c>
      <c r="C1" s="17" t="s">
        <v>45</v>
      </c>
      <c r="D1" s="17" t="s">
        <v>46</v>
      </c>
      <c r="E1" s="17" t="s">
        <v>24</v>
      </c>
      <c r="F1" s="17" t="s">
        <v>34</v>
      </c>
      <c r="G1" s="17" t="s">
        <v>35</v>
      </c>
      <c r="H1" s="17" t="s">
        <v>54</v>
      </c>
      <c r="I1" s="17" t="s">
        <v>55</v>
      </c>
      <c r="J1" s="17" t="s">
        <v>36</v>
      </c>
      <c r="K1" s="17" t="s">
        <v>47</v>
      </c>
      <c r="L1" s="17" t="s">
        <v>48</v>
      </c>
      <c r="M1" s="17" t="s">
        <v>49</v>
      </c>
      <c r="N1" s="17" t="s">
        <v>50</v>
      </c>
      <c r="O1" s="17" t="s">
        <v>42</v>
      </c>
      <c r="P1" s="17" t="s">
        <v>41</v>
      </c>
      <c r="Q1" s="17" t="s">
        <v>44</v>
      </c>
      <c r="R1" s="17" t="s">
        <v>43</v>
      </c>
      <c r="S1" s="17" t="s">
        <v>14</v>
      </c>
      <c r="T1" s="17" t="s">
        <v>13</v>
      </c>
      <c r="U1" s="17" t="s">
        <v>56</v>
      </c>
      <c r="V1" s="17" t="s">
        <v>57</v>
      </c>
      <c r="W1" s="17" t="s">
        <v>58</v>
      </c>
      <c r="X1" s="17" t="s">
        <v>59</v>
      </c>
      <c r="Y1" s="17" t="s">
        <v>60</v>
      </c>
      <c r="Z1" s="17" t="s">
        <v>51</v>
      </c>
      <c r="AA1" s="17" t="s">
        <v>52</v>
      </c>
      <c r="AB1" s="17" t="s">
        <v>53</v>
      </c>
      <c r="AC1" s="7"/>
      <c r="AD1" s="10"/>
      <c r="AE1" s="10"/>
      <c r="AF1" s="10"/>
      <c r="AG1" s="10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</row>
    <row r="2" spans="1:51" x14ac:dyDescent="0.3">
      <c r="A2" s="21">
        <v>7</v>
      </c>
      <c r="B2" s="21">
        <v>11</v>
      </c>
      <c r="C2" s="8">
        <v>2E-3</v>
      </c>
      <c r="D2" s="8">
        <v>0.1</v>
      </c>
      <c r="E2" s="8">
        <v>0.1</v>
      </c>
      <c r="F2" s="8">
        <v>0.12</v>
      </c>
      <c r="G2" s="8">
        <v>6.28</v>
      </c>
      <c r="H2" s="1">
        <v>52</v>
      </c>
      <c r="I2" s="20">
        <v>1E-4</v>
      </c>
      <c r="J2" s="13">
        <v>1E-3</v>
      </c>
      <c r="K2" s="13">
        <v>0.02</v>
      </c>
      <c r="L2" s="8">
        <v>0.70699999999999996</v>
      </c>
      <c r="M2" s="15">
        <v>1</v>
      </c>
      <c r="N2" s="15">
        <v>1</v>
      </c>
      <c r="O2" s="8">
        <f>1/10</f>
        <v>0.1</v>
      </c>
      <c r="P2" s="8">
        <v>0.5</v>
      </c>
      <c r="Q2" s="19">
        <v>0.1</v>
      </c>
      <c r="R2" s="8">
        <v>0.2</v>
      </c>
      <c r="S2" s="8">
        <v>6.4000000000000003E-3</v>
      </c>
      <c r="T2" s="8">
        <v>0.10199999999999999</v>
      </c>
      <c r="U2" s="8" t="s">
        <v>61</v>
      </c>
      <c r="V2" s="8">
        <v>2</v>
      </c>
      <c r="W2" s="8">
        <v>2</v>
      </c>
      <c r="X2" s="8">
        <v>0.1</v>
      </c>
      <c r="Y2" s="8">
        <v>2.1999999999999999E-2</v>
      </c>
      <c r="Z2" s="8">
        <f>0.00001</f>
        <v>1.0000000000000001E-5</v>
      </c>
      <c r="AA2" s="8">
        <v>-1</v>
      </c>
      <c r="AB2" s="8">
        <v>-1</v>
      </c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</row>
    <row r="3" spans="1:51" x14ac:dyDescent="0.3">
      <c r="A3" s="3"/>
      <c r="B3" s="3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</row>
    <row r="4" spans="1:51" x14ac:dyDescent="0.3">
      <c r="A4" s="3"/>
      <c r="B4" s="3"/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</row>
    <row r="5" spans="1:51" x14ac:dyDescent="0.3">
      <c r="A5" s="3"/>
      <c r="B5" s="3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2"/>
      <c r="AX5" s="2"/>
      <c r="AY5" s="2"/>
    </row>
  </sheetData>
  <dataValidations count="1">
    <dataValidation type="list" allowBlank="1" showInputMessage="1" showErrorMessage="1" sqref="U2" xr:uid="{5B6B0A79-5033-42AC-89F4-68216D7D35EB}">
      <formula1>"Yes,No"</formula1>
    </dataValidation>
  </dataValidations>
  <pageMargins left="0.78749999999999998" right="0.78749999999999998" top="1.0527777777778" bottom="1.0527777777778" header="0.78749999999999998" footer="0.78749999999999998"/>
  <pageSetup orientation="portrait" horizontalDpi="300" verticalDpi="300" r:id="rId1"/>
  <headerFooter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B533E-38A2-4A18-91F9-81A95CC6AC6B}">
  <sheetPr codeName="Sheet2">
    <tabColor theme="0" tint="-0.14999847407452621"/>
  </sheetPr>
  <dimension ref="A1:AH353"/>
  <sheetViews>
    <sheetView zoomScale="90" zoomScaleNormal="90" workbookViewId="0">
      <selection activeCell="C2" sqref="C2:F2"/>
    </sheetView>
  </sheetViews>
  <sheetFormatPr defaultColWidth="8.6640625" defaultRowHeight="13.8" x14ac:dyDescent="0.3"/>
  <cols>
    <col min="1" max="2" width="6.6640625" style="4" customWidth="1"/>
    <col min="3" max="7" width="6.6640625" style="1" customWidth="1"/>
    <col min="8" max="8" width="7.88671875" style="1" bestFit="1" customWidth="1"/>
    <col min="9" max="9" width="9.33203125" style="1" bestFit="1" customWidth="1"/>
    <col min="10" max="10" width="6.6640625" style="1" customWidth="1"/>
    <col min="11" max="12" width="7.88671875" style="1" bestFit="1" customWidth="1"/>
    <col min="13" max="13" width="10.5546875" style="1" bestFit="1" customWidth="1"/>
    <col min="14" max="14" width="8.88671875" style="1" bestFit="1" customWidth="1"/>
    <col min="15" max="15" width="11" style="1" bestFit="1" customWidth="1"/>
    <col min="16" max="16" width="9.33203125" style="1" bestFit="1" customWidth="1"/>
    <col min="17" max="17" width="11" style="1" customWidth="1"/>
    <col min="18" max="18" width="11.6640625" style="1" customWidth="1"/>
    <col min="19" max="19" width="15.44140625" style="1" customWidth="1"/>
    <col min="20" max="20" width="9.44140625" style="1" customWidth="1"/>
    <col min="21" max="52" width="6.6640625" style="1" customWidth="1"/>
    <col min="53" max="16384" width="8.6640625" style="1"/>
  </cols>
  <sheetData>
    <row r="1" spans="1:34" x14ac:dyDescent="0.3">
      <c r="A1" s="5" t="s">
        <v>1</v>
      </c>
      <c r="B1" s="5" t="s">
        <v>0</v>
      </c>
      <c r="C1" s="17" t="s">
        <v>45</v>
      </c>
      <c r="D1" s="17" t="s">
        <v>46</v>
      </c>
      <c r="E1" s="17" t="s">
        <v>24</v>
      </c>
      <c r="F1" s="17" t="s">
        <v>34</v>
      </c>
      <c r="G1" s="17" t="s">
        <v>35</v>
      </c>
      <c r="H1" s="17" t="s">
        <v>54</v>
      </c>
      <c r="I1" s="17" t="s">
        <v>36</v>
      </c>
      <c r="J1" s="17" t="s">
        <v>47</v>
      </c>
      <c r="K1" s="17" t="s">
        <v>48</v>
      </c>
      <c r="L1" s="17" t="s">
        <v>49</v>
      </c>
      <c r="M1" s="17" t="s">
        <v>50</v>
      </c>
      <c r="N1" s="17" t="s">
        <v>42</v>
      </c>
      <c r="O1" s="17" t="s">
        <v>41</v>
      </c>
      <c r="P1" s="17" t="s">
        <v>44</v>
      </c>
      <c r="Q1" s="17" t="s">
        <v>43</v>
      </c>
      <c r="R1" s="17" t="s">
        <v>51</v>
      </c>
      <c r="S1" s="17" t="s">
        <v>52</v>
      </c>
      <c r="T1" s="17" t="s">
        <v>53</v>
      </c>
      <c r="U1" s="2"/>
      <c r="V1" s="2"/>
      <c r="AD1" s="9"/>
      <c r="AE1" s="9"/>
      <c r="AF1" s="9"/>
      <c r="AG1" s="9"/>
      <c r="AH1" s="2"/>
    </row>
    <row r="2" spans="1:34" x14ac:dyDescent="0.3">
      <c r="A2" s="18">
        <v>1</v>
      </c>
      <c r="B2" s="18">
        <v>1</v>
      </c>
      <c r="C2" s="8">
        <v>2E-3</v>
      </c>
      <c r="D2" s="8">
        <v>0.09</v>
      </c>
      <c r="E2" s="8">
        <v>0.1</v>
      </c>
      <c r="F2" s="8">
        <v>0.12</v>
      </c>
      <c r="G2" s="8">
        <v>6.2831999999999999</v>
      </c>
      <c r="H2" s="1">
        <v>52</v>
      </c>
      <c r="I2" s="13">
        <f>1/500</f>
        <v>2E-3</v>
      </c>
      <c r="J2" s="8">
        <f>1/5</f>
        <v>0.2</v>
      </c>
      <c r="K2" s="8">
        <v>0.70699999999999996</v>
      </c>
      <c r="L2" s="8">
        <f>1/5</f>
        <v>0.2</v>
      </c>
      <c r="M2" s="8">
        <f t="shared" ref="M2:M7" si="0">1/5</f>
        <v>0.2</v>
      </c>
      <c r="N2" s="8">
        <f>1/10</f>
        <v>0.1</v>
      </c>
      <c r="O2" s="8">
        <v>0</v>
      </c>
      <c r="P2" s="19">
        <v>0.1</v>
      </c>
      <c r="Q2" s="8">
        <v>0</v>
      </c>
      <c r="R2" s="20">
        <v>1.0000000000000001E-5</v>
      </c>
      <c r="S2" s="20">
        <v>-1</v>
      </c>
      <c r="T2" s="20">
        <v>-1</v>
      </c>
      <c r="AD2" s="2"/>
      <c r="AE2" s="2"/>
      <c r="AF2" s="2"/>
      <c r="AG2" s="2"/>
      <c r="AH2" s="2"/>
    </row>
    <row r="3" spans="1:34" x14ac:dyDescent="0.3">
      <c r="A3" s="18">
        <v>2</v>
      </c>
      <c r="B3" s="18">
        <v>2</v>
      </c>
      <c r="C3" s="8">
        <v>2E-3</v>
      </c>
      <c r="D3" s="8">
        <v>0.09</v>
      </c>
      <c r="E3" s="8">
        <v>0.1</v>
      </c>
      <c r="F3" s="8">
        <v>0.12</v>
      </c>
      <c r="G3" s="8">
        <v>6.2831999999999999</v>
      </c>
      <c r="H3" s="1">
        <v>52</v>
      </c>
      <c r="I3" s="13">
        <f t="shared" ref="I3:I7" si="1">1/500</f>
        <v>2E-3</v>
      </c>
      <c r="J3" s="8">
        <f t="shared" ref="J3:J7" si="2">1/5</f>
        <v>0.2</v>
      </c>
      <c r="K3" s="8">
        <v>0.70699999999999996</v>
      </c>
      <c r="L3" s="8">
        <f t="shared" ref="L3:L7" si="3">1/5</f>
        <v>0.2</v>
      </c>
      <c r="M3" s="8">
        <f t="shared" si="0"/>
        <v>0.2</v>
      </c>
      <c r="N3" s="8">
        <f t="shared" ref="N3:N7" si="4">1/10</f>
        <v>0.1</v>
      </c>
      <c r="O3" s="8">
        <v>0</v>
      </c>
      <c r="P3" s="19">
        <v>0.1</v>
      </c>
      <c r="Q3" s="8">
        <v>0</v>
      </c>
      <c r="R3" s="20">
        <v>1.0000000000000001E-5</v>
      </c>
      <c r="S3" s="20">
        <v>-1</v>
      </c>
      <c r="T3" s="20">
        <v>-1</v>
      </c>
    </row>
    <row r="4" spans="1:34" x14ac:dyDescent="0.3">
      <c r="A4" s="18">
        <v>3</v>
      </c>
      <c r="B4" s="18">
        <v>3</v>
      </c>
      <c r="C4" s="8">
        <v>2E-3</v>
      </c>
      <c r="D4" s="8">
        <v>0.09</v>
      </c>
      <c r="E4" s="8">
        <v>0.1</v>
      </c>
      <c r="F4" s="8">
        <v>0.12</v>
      </c>
      <c r="G4" s="8">
        <v>6.2831999999999999</v>
      </c>
      <c r="H4" s="1">
        <v>52</v>
      </c>
      <c r="I4" s="13">
        <f t="shared" si="1"/>
        <v>2E-3</v>
      </c>
      <c r="J4" s="8">
        <f t="shared" si="2"/>
        <v>0.2</v>
      </c>
      <c r="K4" s="8">
        <v>0.70699999999999996</v>
      </c>
      <c r="L4" s="8">
        <f t="shared" si="3"/>
        <v>0.2</v>
      </c>
      <c r="M4" s="8">
        <f t="shared" si="0"/>
        <v>0.2</v>
      </c>
      <c r="N4" s="8">
        <f t="shared" si="4"/>
        <v>0.1</v>
      </c>
      <c r="O4" s="8">
        <v>0</v>
      </c>
      <c r="P4" s="19">
        <v>0.1</v>
      </c>
      <c r="Q4" s="8">
        <v>0</v>
      </c>
      <c r="R4" s="20">
        <v>1.0000000000000001E-5</v>
      </c>
      <c r="S4" s="20">
        <v>-1</v>
      </c>
      <c r="T4" s="20">
        <v>-1</v>
      </c>
    </row>
    <row r="5" spans="1:34" x14ac:dyDescent="0.3">
      <c r="A5" s="18">
        <v>4</v>
      </c>
      <c r="B5" s="18">
        <v>4</v>
      </c>
      <c r="C5" s="8">
        <v>2E-3</v>
      </c>
      <c r="D5" s="8">
        <v>0.09</v>
      </c>
      <c r="E5" s="8">
        <v>0.1</v>
      </c>
      <c r="F5" s="8">
        <v>0.12</v>
      </c>
      <c r="G5" s="8">
        <v>6.2831999999999999</v>
      </c>
      <c r="H5" s="1">
        <v>52</v>
      </c>
      <c r="I5" s="13">
        <f t="shared" si="1"/>
        <v>2E-3</v>
      </c>
      <c r="J5" s="8">
        <f t="shared" si="2"/>
        <v>0.2</v>
      </c>
      <c r="K5" s="8">
        <v>0.70699999999999996</v>
      </c>
      <c r="L5" s="8">
        <f t="shared" si="3"/>
        <v>0.2</v>
      </c>
      <c r="M5" s="8">
        <f t="shared" si="0"/>
        <v>0.2</v>
      </c>
      <c r="N5" s="8">
        <f t="shared" si="4"/>
        <v>0.1</v>
      </c>
      <c r="O5" s="8">
        <v>0</v>
      </c>
      <c r="P5" s="19">
        <v>0.1</v>
      </c>
      <c r="Q5" s="8">
        <v>0</v>
      </c>
      <c r="R5" s="20">
        <v>1.0000000000000001E-5</v>
      </c>
      <c r="S5" s="20">
        <v>-1</v>
      </c>
      <c r="T5" s="20">
        <v>-1</v>
      </c>
    </row>
    <row r="6" spans="1:34" x14ac:dyDescent="0.3">
      <c r="A6" s="18">
        <v>5</v>
      </c>
      <c r="B6" s="18">
        <v>5</v>
      </c>
      <c r="C6" s="8">
        <v>2E-3</v>
      </c>
      <c r="D6" s="8">
        <v>0.09</v>
      </c>
      <c r="E6" s="8">
        <v>0.1</v>
      </c>
      <c r="F6" s="8">
        <v>0.12</v>
      </c>
      <c r="G6" s="8">
        <v>6.2831999999999999</v>
      </c>
      <c r="H6" s="1">
        <v>52</v>
      </c>
      <c r="I6" s="13">
        <f t="shared" si="1"/>
        <v>2E-3</v>
      </c>
      <c r="J6" s="8">
        <f t="shared" si="2"/>
        <v>0.2</v>
      </c>
      <c r="K6" s="8">
        <v>0.70699999999999996</v>
      </c>
      <c r="L6" s="8">
        <f t="shared" si="3"/>
        <v>0.2</v>
      </c>
      <c r="M6" s="8">
        <f t="shared" si="0"/>
        <v>0.2</v>
      </c>
      <c r="N6" s="8">
        <f t="shared" si="4"/>
        <v>0.1</v>
      </c>
      <c r="O6" s="8">
        <v>0</v>
      </c>
      <c r="P6" s="19">
        <v>0.1</v>
      </c>
      <c r="Q6" s="8">
        <v>0</v>
      </c>
      <c r="R6" s="20">
        <v>1.0000000000000001E-5</v>
      </c>
      <c r="S6" s="20">
        <v>-1</v>
      </c>
      <c r="T6" s="20">
        <v>-1</v>
      </c>
    </row>
    <row r="7" spans="1:34" x14ac:dyDescent="0.3">
      <c r="A7" s="18">
        <v>6</v>
      </c>
      <c r="B7" s="18">
        <v>6</v>
      </c>
      <c r="C7" s="8">
        <v>2E-3</v>
      </c>
      <c r="D7" s="8">
        <v>0.09</v>
      </c>
      <c r="E7" s="8">
        <v>0.1</v>
      </c>
      <c r="F7" s="8">
        <v>0.12</v>
      </c>
      <c r="G7" s="8">
        <v>6.2831999999999999</v>
      </c>
      <c r="H7" s="1">
        <v>52</v>
      </c>
      <c r="I7" s="13">
        <f t="shared" si="1"/>
        <v>2E-3</v>
      </c>
      <c r="J7" s="8">
        <f t="shared" si="2"/>
        <v>0.2</v>
      </c>
      <c r="K7" s="8">
        <v>0.70699999999999996</v>
      </c>
      <c r="L7" s="8">
        <f t="shared" si="3"/>
        <v>0.2</v>
      </c>
      <c r="M7" s="8">
        <f t="shared" si="0"/>
        <v>0.2</v>
      </c>
      <c r="N7" s="8">
        <f t="shared" si="4"/>
        <v>0.1</v>
      </c>
      <c r="O7" s="8">
        <v>0</v>
      </c>
      <c r="P7" s="19">
        <v>0.1</v>
      </c>
      <c r="Q7" s="8">
        <v>0</v>
      </c>
      <c r="R7" s="20">
        <v>1.0000000000000001E-5</v>
      </c>
      <c r="S7" s="20">
        <v>-1</v>
      </c>
      <c r="T7" s="20">
        <v>-1</v>
      </c>
    </row>
    <row r="8" spans="1:34" x14ac:dyDescent="0.3">
      <c r="A8" s="18"/>
      <c r="B8" s="18"/>
      <c r="C8" s="8"/>
      <c r="D8" s="8"/>
      <c r="E8" s="8"/>
      <c r="F8" s="8"/>
      <c r="G8" s="8"/>
      <c r="H8" s="13"/>
      <c r="I8" s="8"/>
      <c r="J8" s="8"/>
      <c r="K8" s="15"/>
      <c r="L8" s="15"/>
      <c r="M8" s="8"/>
      <c r="N8" s="8"/>
      <c r="O8" s="19"/>
      <c r="P8" s="8"/>
      <c r="Q8" s="20"/>
      <c r="R8" s="20"/>
      <c r="S8" s="20"/>
    </row>
    <row r="9" spans="1:34" x14ac:dyDescent="0.3">
      <c r="A9" s="18"/>
      <c r="B9" s="18"/>
      <c r="C9" s="8"/>
      <c r="D9" s="8"/>
      <c r="E9" s="8"/>
      <c r="F9" s="8"/>
      <c r="G9" s="8"/>
      <c r="H9" s="13"/>
      <c r="I9" s="8"/>
      <c r="J9" s="8"/>
      <c r="K9" s="15"/>
      <c r="L9" s="15"/>
      <c r="M9" s="8"/>
      <c r="N9" s="8"/>
      <c r="O9" s="19"/>
      <c r="P9" s="8"/>
      <c r="Q9" s="20"/>
      <c r="R9" s="20"/>
      <c r="S9" s="20"/>
    </row>
    <row r="10" spans="1:34" x14ac:dyDescent="0.3">
      <c r="A10" s="18"/>
      <c r="B10" s="18"/>
      <c r="C10" s="8"/>
      <c r="D10" s="8"/>
      <c r="E10" s="8"/>
      <c r="F10" s="8"/>
      <c r="G10" s="8"/>
      <c r="H10" s="13"/>
      <c r="I10" s="8"/>
      <c r="J10" s="8"/>
      <c r="K10" s="15"/>
      <c r="L10" s="15"/>
      <c r="M10" s="8"/>
      <c r="N10" s="8"/>
      <c r="O10" s="19"/>
      <c r="P10" s="8"/>
      <c r="Q10" s="20"/>
      <c r="R10" s="20"/>
      <c r="S10" s="20"/>
    </row>
    <row r="11" spans="1:34" x14ac:dyDescent="0.3">
      <c r="A11" s="18"/>
      <c r="B11" s="18"/>
      <c r="C11" s="8"/>
      <c r="D11" s="8"/>
      <c r="E11" s="8"/>
      <c r="F11" s="8"/>
      <c r="G11" s="8"/>
      <c r="H11" s="13"/>
      <c r="I11" s="8"/>
      <c r="J11" s="8"/>
      <c r="K11" s="15"/>
      <c r="L11" s="15"/>
      <c r="M11" s="8"/>
      <c r="N11" s="8"/>
      <c r="O11" s="19"/>
      <c r="P11" s="8"/>
      <c r="Q11" s="20"/>
      <c r="R11" s="20"/>
      <c r="S11" s="20"/>
    </row>
    <row r="12" spans="1:34" x14ac:dyDescent="0.3">
      <c r="A12" s="18"/>
      <c r="B12" s="18"/>
      <c r="C12" s="8"/>
      <c r="D12" s="8"/>
      <c r="E12" s="8"/>
      <c r="F12" s="8"/>
      <c r="G12" s="8"/>
      <c r="H12" s="13"/>
      <c r="I12" s="8"/>
      <c r="J12" s="8"/>
      <c r="K12" s="15"/>
      <c r="L12" s="15"/>
      <c r="M12" s="8"/>
      <c r="N12" s="8"/>
      <c r="O12" s="19"/>
      <c r="P12" s="8"/>
      <c r="Q12" s="20"/>
      <c r="R12" s="20"/>
      <c r="S12" s="20"/>
    </row>
    <row r="13" spans="1:34" x14ac:dyDescent="0.3">
      <c r="A13" s="18"/>
      <c r="B13" s="18"/>
      <c r="C13" s="8"/>
      <c r="D13" s="8"/>
      <c r="E13" s="8"/>
      <c r="F13" s="8"/>
      <c r="G13" s="8"/>
      <c r="H13" s="13"/>
      <c r="I13" s="8"/>
      <c r="J13" s="8"/>
      <c r="K13" s="15"/>
      <c r="L13" s="15"/>
      <c r="M13" s="8"/>
      <c r="N13" s="8"/>
      <c r="O13" s="19"/>
      <c r="P13" s="8"/>
      <c r="Q13" s="20"/>
      <c r="R13" s="20"/>
      <c r="S13" s="20"/>
    </row>
    <row r="14" spans="1:34" x14ac:dyDescent="0.3">
      <c r="A14" s="18"/>
      <c r="B14" s="18"/>
      <c r="C14" s="8"/>
      <c r="D14" s="8"/>
      <c r="E14" s="8"/>
      <c r="F14" s="8"/>
      <c r="G14" s="8"/>
      <c r="H14" s="13"/>
      <c r="I14" s="8"/>
      <c r="J14" s="8"/>
      <c r="K14" s="15"/>
      <c r="L14" s="15"/>
      <c r="M14" s="8"/>
      <c r="N14" s="8"/>
      <c r="O14" s="19"/>
      <c r="P14" s="8"/>
      <c r="Q14" s="20"/>
      <c r="R14" s="20"/>
      <c r="S14" s="20"/>
    </row>
    <row r="15" spans="1:34" x14ac:dyDescent="0.3">
      <c r="A15" s="18"/>
      <c r="B15" s="18"/>
      <c r="C15" s="8"/>
      <c r="D15" s="8"/>
      <c r="E15" s="8"/>
      <c r="F15" s="8"/>
      <c r="G15" s="8"/>
      <c r="H15" s="13"/>
      <c r="I15" s="8"/>
      <c r="J15" s="8"/>
      <c r="K15" s="15"/>
      <c r="L15" s="15"/>
      <c r="M15" s="8"/>
      <c r="N15" s="8"/>
      <c r="O15" s="19"/>
      <c r="P15" s="8"/>
      <c r="Q15" s="20"/>
      <c r="R15" s="20"/>
      <c r="S15" s="20"/>
    </row>
    <row r="16" spans="1:34" x14ac:dyDescent="0.3">
      <c r="A16" s="18"/>
      <c r="B16" s="18"/>
      <c r="C16" s="8"/>
      <c r="D16" s="8"/>
      <c r="E16" s="8"/>
      <c r="F16" s="8"/>
      <c r="G16" s="8"/>
      <c r="H16" s="13"/>
      <c r="I16" s="8"/>
      <c r="J16" s="8"/>
      <c r="K16" s="15"/>
      <c r="L16" s="15"/>
      <c r="M16" s="8"/>
      <c r="N16" s="8"/>
      <c r="O16" s="19"/>
      <c r="P16" s="8"/>
      <c r="Q16" s="20"/>
      <c r="R16" s="20"/>
      <c r="S16" s="20"/>
    </row>
    <row r="17" spans="1:19" x14ac:dyDescent="0.3">
      <c r="A17" s="18"/>
      <c r="B17" s="18"/>
      <c r="C17" s="8"/>
      <c r="D17" s="8"/>
      <c r="E17" s="8"/>
      <c r="F17" s="8"/>
      <c r="G17" s="8"/>
      <c r="H17" s="13"/>
      <c r="I17" s="8"/>
      <c r="J17" s="8"/>
      <c r="K17" s="15"/>
      <c r="L17" s="15"/>
      <c r="M17" s="8"/>
      <c r="N17" s="8"/>
      <c r="O17" s="19"/>
      <c r="P17" s="8"/>
      <c r="Q17" s="20"/>
      <c r="R17" s="20"/>
      <c r="S17" s="20"/>
    </row>
    <row r="18" spans="1:19" x14ac:dyDescent="0.3">
      <c r="A18" s="18"/>
      <c r="B18" s="18"/>
      <c r="C18" s="8"/>
      <c r="D18" s="8"/>
      <c r="E18" s="8"/>
      <c r="F18" s="8"/>
      <c r="G18" s="8"/>
      <c r="H18" s="13"/>
      <c r="I18" s="8"/>
      <c r="J18" s="8"/>
      <c r="K18" s="15"/>
      <c r="L18" s="15"/>
      <c r="M18" s="8"/>
      <c r="N18" s="8"/>
      <c r="O18" s="19"/>
      <c r="P18" s="8"/>
      <c r="Q18" s="20"/>
      <c r="R18" s="20"/>
      <c r="S18" s="20"/>
    </row>
    <row r="19" spans="1:19" x14ac:dyDescent="0.3">
      <c r="A19" s="18"/>
      <c r="B19" s="18"/>
      <c r="C19" s="8"/>
      <c r="D19" s="8"/>
      <c r="E19" s="8"/>
      <c r="F19" s="8"/>
      <c r="G19" s="8"/>
      <c r="H19" s="13"/>
      <c r="I19" s="8"/>
      <c r="J19" s="8"/>
      <c r="K19" s="15"/>
      <c r="L19" s="15"/>
      <c r="M19" s="8"/>
      <c r="N19" s="8"/>
      <c r="O19" s="19"/>
      <c r="P19" s="8"/>
      <c r="Q19" s="20"/>
      <c r="R19" s="20"/>
      <c r="S19" s="20"/>
    </row>
    <row r="20" spans="1:19" x14ac:dyDescent="0.3">
      <c r="A20" s="18"/>
      <c r="B20" s="18"/>
      <c r="C20" s="8"/>
      <c r="D20" s="8"/>
      <c r="E20" s="8"/>
      <c r="F20" s="8"/>
      <c r="G20" s="8"/>
      <c r="H20" s="13"/>
      <c r="I20" s="8"/>
      <c r="J20" s="8"/>
      <c r="K20" s="15"/>
      <c r="L20" s="15"/>
      <c r="M20" s="8"/>
      <c r="N20" s="8"/>
      <c r="O20" s="19"/>
      <c r="P20" s="8"/>
      <c r="Q20" s="20"/>
      <c r="R20" s="20"/>
      <c r="S20" s="20"/>
    </row>
    <row r="21" spans="1:19" x14ac:dyDescent="0.3">
      <c r="A21" s="18"/>
      <c r="B21" s="18"/>
      <c r="C21" s="8"/>
      <c r="D21" s="8"/>
      <c r="E21" s="8"/>
      <c r="F21" s="8"/>
      <c r="G21" s="8"/>
      <c r="H21" s="13"/>
      <c r="I21" s="8"/>
      <c r="J21" s="8"/>
      <c r="K21" s="15"/>
      <c r="L21" s="15"/>
      <c r="M21" s="8"/>
      <c r="N21" s="8"/>
      <c r="O21" s="19"/>
      <c r="P21" s="8"/>
      <c r="Q21" s="20"/>
      <c r="R21" s="20"/>
      <c r="S21" s="20"/>
    </row>
    <row r="22" spans="1:19" x14ac:dyDescent="0.3">
      <c r="A22" s="18"/>
      <c r="B22" s="18"/>
      <c r="C22" s="8"/>
      <c r="D22" s="8"/>
      <c r="E22" s="8"/>
      <c r="F22" s="8"/>
      <c r="G22" s="8"/>
      <c r="H22" s="13"/>
      <c r="I22" s="8"/>
      <c r="J22" s="8"/>
      <c r="K22" s="15"/>
      <c r="L22" s="15"/>
      <c r="M22" s="8"/>
      <c r="N22" s="8"/>
      <c r="O22" s="19"/>
      <c r="P22" s="8"/>
      <c r="Q22" s="20"/>
      <c r="R22" s="20"/>
      <c r="S22" s="20"/>
    </row>
    <row r="23" spans="1:19" x14ac:dyDescent="0.3">
      <c r="A23" s="18"/>
      <c r="B23" s="18"/>
      <c r="C23" s="8"/>
      <c r="D23" s="8"/>
      <c r="E23" s="8"/>
      <c r="F23" s="8"/>
      <c r="G23" s="8"/>
      <c r="H23" s="13"/>
      <c r="I23" s="8"/>
      <c r="J23" s="8"/>
      <c r="K23" s="15"/>
      <c r="L23" s="15"/>
      <c r="M23" s="8"/>
      <c r="N23" s="8"/>
      <c r="O23" s="19"/>
      <c r="P23" s="8"/>
      <c r="Q23" s="20"/>
      <c r="R23" s="20"/>
      <c r="S23" s="20"/>
    </row>
    <row r="24" spans="1:19" x14ac:dyDescent="0.3">
      <c r="A24" s="18"/>
      <c r="B24" s="18"/>
      <c r="C24" s="8"/>
      <c r="D24" s="8"/>
      <c r="E24" s="8"/>
      <c r="F24" s="8"/>
      <c r="G24" s="8"/>
      <c r="H24" s="13"/>
      <c r="I24" s="8"/>
      <c r="J24" s="8"/>
      <c r="K24" s="15"/>
      <c r="L24" s="15"/>
      <c r="M24" s="8"/>
      <c r="N24" s="8"/>
      <c r="O24" s="19"/>
      <c r="P24" s="8"/>
      <c r="Q24" s="20"/>
      <c r="R24" s="20"/>
      <c r="S24" s="20"/>
    </row>
    <row r="25" spans="1:19" x14ac:dyDescent="0.3">
      <c r="A25" s="18"/>
      <c r="B25" s="18"/>
      <c r="C25" s="8"/>
      <c r="D25" s="8"/>
      <c r="E25" s="8"/>
      <c r="F25" s="8"/>
      <c r="G25" s="8"/>
      <c r="H25" s="13"/>
      <c r="I25" s="8"/>
      <c r="J25" s="8"/>
      <c r="K25" s="15"/>
      <c r="L25" s="15"/>
      <c r="M25" s="8"/>
      <c r="N25" s="8"/>
      <c r="O25" s="19"/>
      <c r="P25" s="8"/>
      <c r="Q25" s="20"/>
      <c r="R25" s="20"/>
      <c r="S25" s="20"/>
    </row>
    <row r="26" spans="1:19" x14ac:dyDescent="0.3">
      <c r="A26" s="18"/>
      <c r="B26" s="18"/>
      <c r="C26" s="8"/>
      <c r="D26" s="8"/>
      <c r="E26" s="8"/>
      <c r="F26" s="8"/>
      <c r="G26" s="8"/>
      <c r="H26" s="13"/>
      <c r="I26" s="8"/>
      <c r="J26" s="8"/>
      <c r="K26" s="15"/>
      <c r="L26" s="15"/>
      <c r="M26" s="8"/>
      <c r="N26" s="8"/>
      <c r="O26" s="19"/>
      <c r="P26" s="8"/>
      <c r="Q26" s="20"/>
      <c r="R26" s="20"/>
      <c r="S26" s="20"/>
    </row>
    <row r="27" spans="1:19" x14ac:dyDescent="0.3">
      <c r="A27" s="18"/>
      <c r="B27" s="18"/>
      <c r="C27" s="8"/>
      <c r="D27" s="8"/>
      <c r="E27" s="8"/>
      <c r="F27" s="8"/>
      <c r="G27" s="8"/>
      <c r="H27" s="13"/>
      <c r="I27" s="8"/>
      <c r="J27" s="8"/>
      <c r="K27" s="15"/>
      <c r="L27" s="15"/>
      <c r="M27" s="8"/>
      <c r="N27" s="8"/>
      <c r="O27" s="19"/>
      <c r="P27" s="8"/>
      <c r="Q27" s="20"/>
      <c r="R27" s="20"/>
      <c r="S27" s="20"/>
    </row>
    <row r="28" spans="1:19" x14ac:dyDescent="0.3">
      <c r="A28" s="18"/>
      <c r="B28" s="18"/>
      <c r="C28" s="8"/>
      <c r="D28" s="8"/>
      <c r="E28" s="8"/>
      <c r="F28" s="8"/>
      <c r="G28" s="8"/>
      <c r="H28" s="13"/>
      <c r="I28" s="8"/>
      <c r="J28" s="8"/>
      <c r="K28" s="15"/>
      <c r="L28" s="15"/>
      <c r="M28" s="8"/>
      <c r="N28" s="8"/>
      <c r="O28" s="19"/>
      <c r="P28" s="8"/>
      <c r="Q28" s="20"/>
      <c r="R28" s="20"/>
      <c r="S28" s="20"/>
    </row>
    <row r="29" spans="1:19" x14ac:dyDescent="0.3">
      <c r="A29" s="18"/>
      <c r="B29" s="18"/>
      <c r="C29" s="8"/>
      <c r="D29" s="8"/>
      <c r="E29" s="8"/>
      <c r="F29" s="8"/>
      <c r="G29" s="8"/>
      <c r="H29" s="13"/>
      <c r="I29" s="8"/>
      <c r="J29" s="8"/>
      <c r="K29" s="15"/>
      <c r="L29" s="15"/>
      <c r="M29" s="8"/>
      <c r="N29" s="8"/>
      <c r="O29" s="19"/>
      <c r="P29" s="8"/>
      <c r="Q29" s="20"/>
      <c r="R29" s="20"/>
      <c r="S29" s="20"/>
    </row>
    <row r="30" spans="1:19" x14ac:dyDescent="0.3">
      <c r="A30" s="18"/>
      <c r="B30" s="18"/>
      <c r="C30" s="8"/>
      <c r="D30" s="8"/>
      <c r="E30" s="8"/>
      <c r="F30" s="8"/>
      <c r="G30" s="8"/>
      <c r="H30" s="13"/>
      <c r="I30" s="8"/>
      <c r="J30" s="8"/>
      <c r="K30" s="15"/>
      <c r="L30" s="15"/>
      <c r="M30" s="8"/>
      <c r="N30" s="8"/>
      <c r="O30" s="19"/>
      <c r="P30" s="8"/>
      <c r="Q30" s="20"/>
      <c r="R30" s="20"/>
      <c r="S30" s="20"/>
    </row>
    <row r="31" spans="1:19" x14ac:dyDescent="0.3">
      <c r="A31" s="18"/>
      <c r="B31" s="18"/>
      <c r="C31" s="8"/>
      <c r="D31" s="8"/>
      <c r="E31" s="8"/>
      <c r="F31" s="8"/>
      <c r="G31" s="8"/>
      <c r="H31" s="13"/>
      <c r="I31" s="8"/>
      <c r="J31" s="8"/>
      <c r="K31" s="15"/>
      <c r="L31" s="15"/>
      <c r="M31" s="8"/>
      <c r="N31" s="8"/>
      <c r="O31" s="19"/>
      <c r="P31" s="8"/>
      <c r="Q31" s="20"/>
      <c r="R31" s="20"/>
      <c r="S31" s="20"/>
    </row>
    <row r="32" spans="1:19" x14ac:dyDescent="0.3">
      <c r="A32" s="18"/>
      <c r="B32" s="18"/>
      <c r="C32" s="8"/>
      <c r="D32" s="8"/>
      <c r="E32" s="8"/>
      <c r="F32" s="8"/>
      <c r="G32" s="8"/>
      <c r="H32" s="13"/>
      <c r="I32" s="8"/>
      <c r="J32" s="8"/>
      <c r="K32" s="15"/>
      <c r="L32" s="15"/>
      <c r="M32" s="8"/>
      <c r="N32" s="8"/>
      <c r="O32" s="19"/>
      <c r="P32" s="8"/>
      <c r="Q32" s="20"/>
      <c r="R32" s="20"/>
      <c r="S32" s="20"/>
    </row>
    <row r="33" spans="1:19" x14ac:dyDescent="0.3">
      <c r="A33" s="18"/>
      <c r="B33" s="18"/>
      <c r="C33" s="8"/>
      <c r="D33" s="8"/>
      <c r="E33" s="8"/>
      <c r="F33" s="8"/>
      <c r="G33" s="8"/>
      <c r="H33" s="13"/>
      <c r="I33" s="8"/>
      <c r="J33" s="8"/>
      <c r="K33" s="15"/>
      <c r="L33" s="15"/>
      <c r="M33" s="8"/>
      <c r="N33" s="8"/>
      <c r="O33" s="19"/>
      <c r="P33" s="8"/>
      <c r="Q33" s="20"/>
      <c r="R33" s="20"/>
      <c r="S33" s="20"/>
    </row>
    <row r="34" spans="1:19" x14ac:dyDescent="0.3">
      <c r="A34" s="18"/>
      <c r="B34" s="18"/>
      <c r="C34" s="8"/>
      <c r="D34" s="8"/>
      <c r="E34" s="8"/>
      <c r="F34" s="8"/>
      <c r="G34" s="8"/>
      <c r="H34" s="13"/>
      <c r="I34" s="8"/>
      <c r="J34" s="8"/>
      <c r="K34" s="15"/>
      <c r="L34" s="15"/>
      <c r="M34" s="8"/>
      <c r="N34" s="8"/>
      <c r="O34" s="19"/>
      <c r="P34" s="8"/>
      <c r="Q34" s="20"/>
      <c r="R34" s="20"/>
      <c r="S34" s="20"/>
    </row>
    <row r="35" spans="1:19" x14ac:dyDescent="0.3">
      <c r="A35" s="18"/>
      <c r="B35" s="18"/>
      <c r="C35" s="8"/>
      <c r="D35" s="8"/>
      <c r="E35" s="8"/>
      <c r="F35" s="8"/>
      <c r="G35" s="8"/>
      <c r="H35" s="13"/>
      <c r="I35" s="8"/>
      <c r="J35" s="8"/>
      <c r="K35" s="15"/>
      <c r="L35" s="15"/>
      <c r="M35" s="8"/>
      <c r="N35" s="8"/>
      <c r="O35" s="19"/>
      <c r="P35" s="8"/>
      <c r="Q35" s="20"/>
      <c r="R35" s="20"/>
      <c r="S35" s="20"/>
    </row>
    <row r="36" spans="1:19" x14ac:dyDescent="0.3">
      <c r="A36" s="18"/>
      <c r="B36" s="18"/>
      <c r="C36" s="8"/>
      <c r="D36" s="8"/>
      <c r="E36" s="8"/>
      <c r="F36" s="8"/>
      <c r="G36" s="8"/>
      <c r="H36" s="13"/>
      <c r="I36" s="8"/>
      <c r="J36" s="8"/>
      <c r="K36" s="15"/>
      <c r="L36" s="15"/>
      <c r="M36" s="8"/>
      <c r="N36" s="8"/>
      <c r="O36" s="19"/>
      <c r="P36" s="8"/>
      <c r="Q36" s="20"/>
      <c r="R36" s="20"/>
      <c r="S36" s="20"/>
    </row>
    <row r="37" spans="1:19" x14ac:dyDescent="0.3">
      <c r="A37" s="18"/>
      <c r="B37" s="18"/>
      <c r="C37" s="8"/>
      <c r="D37" s="8"/>
      <c r="E37" s="8"/>
      <c r="F37" s="8"/>
      <c r="G37" s="8"/>
      <c r="H37" s="13"/>
      <c r="I37" s="8"/>
      <c r="J37" s="8"/>
      <c r="K37" s="15"/>
      <c r="L37" s="15"/>
      <c r="M37" s="8"/>
      <c r="N37" s="8"/>
      <c r="O37" s="19"/>
      <c r="P37" s="8"/>
      <c r="Q37" s="20"/>
      <c r="R37" s="20"/>
      <c r="S37" s="20"/>
    </row>
    <row r="38" spans="1:19" x14ac:dyDescent="0.3">
      <c r="A38" s="18"/>
      <c r="B38" s="18"/>
      <c r="C38" s="8"/>
      <c r="D38" s="8"/>
      <c r="E38" s="8"/>
      <c r="F38" s="8"/>
      <c r="G38" s="8"/>
      <c r="H38" s="13"/>
      <c r="I38" s="8"/>
      <c r="J38" s="8"/>
      <c r="K38" s="15"/>
      <c r="L38" s="15"/>
      <c r="M38" s="8"/>
      <c r="N38" s="8"/>
      <c r="O38" s="19"/>
      <c r="P38" s="8"/>
      <c r="Q38" s="20"/>
      <c r="R38" s="20"/>
      <c r="S38" s="20"/>
    </row>
    <row r="39" spans="1:19" x14ac:dyDescent="0.3">
      <c r="A39" s="18"/>
      <c r="B39" s="18"/>
      <c r="C39" s="8"/>
      <c r="D39" s="8"/>
      <c r="E39" s="8"/>
      <c r="F39" s="8"/>
      <c r="G39" s="8"/>
      <c r="H39" s="13"/>
      <c r="I39" s="8"/>
      <c r="J39" s="8"/>
      <c r="K39" s="15"/>
      <c r="L39" s="15"/>
      <c r="M39" s="8"/>
      <c r="N39" s="8"/>
      <c r="O39" s="19"/>
      <c r="P39" s="8"/>
      <c r="Q39" s="20"/>
      <c r="R39" s="20"/>
      <c r="S39" s="20"/>
    </row>
    <row r="40" spans="1:19" x14ac:dyDescent="0.3">
      <c r="A40" s="18"/>
      <c r="B40" s="18"/>
      <c r="C40" s="8"/>
      <c r="D40" s="8"/>
      <c r="E40" s="8"/>
      <c r="F40" s="8"/>
      <c r="G40" s="8"/>
      <c r="H40" s="13"/>
      <c r="I40" s="8"/>
      <c r="J40" s="8"/>
      <c r="K40" s="15"/>
      <c r="L40" s="15"/>
      <c r="M40" s="8"/>
      <c r="N40" s="8"/>
      <c r="O40" s="19"/>
      <c r="P40" s="8"/>
      <c r="Q40" s="20"/>
      <c r="R40" s="20"/>
      <c r="S40" s="20"/>
    </row>
    <row r="41" spans="1:19" x14ac:dyDescent="0.3">
      <c r="A41" s="18"/>
      <c r="B41" s="18"/>
      <c r="C41" s="8"/>
      <c r="D41" s="8"/>
      <c r="E41" s="8"/>
      <c r="F41" s="8"/>
      <c r="G41" s="8"/>
      <c r="H41" s="13"/>
      <c r="I41" s="8"/>
      <c r="J41" s="8"/>
      <c r="K41" s="15"/>
      <c r="L41" s="15"/>
      <c r="M41" s="8"/>
      <c r="N41" s="8"/>
      <c r="O41" s="19"/>
      <c r="P41" s="8"/>
      <c r="Q41" s="20"/>
      <c r="R41" s="20"/>
      <c r="S41" s="20"/>
    </row>
    <row r="42" spans="1:19" x14ac:dyDescent="0.3">
      <c r="A42" s="18"/>
      <c r="B42" s="18"/>
      <c r="C42" s="8"/>
      <c r="D42" s="8"/>
      <c r="E42" s="8"/>
      <c r="F42" s="8"/>
      <c r="G42" s="8"/>
      <c r="H42" s="13"/>
      <c r="I42" s="8"/>
      <c r="J42" s="8"/>
      <c r="K42" s="15"/>
      <c r="L42" s="15"/>
      <c r="M42" s="8"/>
      <c r="N42" s="8"/>
      <c r="O42" s="19"/>
      <c r="P42" s="8"/>
      <c r="Q42" s="20"/>
      <c r="R42" s="20"/>
      <c r="S42" s="20"/>
    </row>
    <row r="43" spans="1:19" x14ac:dyDescent="0.3">
      <c r="A43" s="18"/>
      <c r="B43" s="18"/>
      <c r="C43" s="8"/>
      <c r="D43" s="8"/>
      <c r="E43" s="8"/>
      <c r="F43" s="8"/>
      <c r="G43" s="8"/>
      <c r="H43" s="13"/>
      <c r="I43" s="8"/>
      <c r="J43" s="8"/>
      <c r="K43" s="15"/>
      <c r="L43" s="15"/>
      <c r="M43" s="8"/>
      <c r="N43" s="8"/>
      <c r="O43" s="19"/>
      <c r="P43" s="8"/>
      <c r="Q43" s="20"/>
      <c r="R43" s="20"/>
      <c r="S43" s="20"/>
    </row>
    <row r="44" spans="1:19" x14ac:dyDescent="0.3">
      <c r="A44" s="18"/>
      <c r="B44" s="18"/>
      <c r="C44" s="8"/>
      <c r="D44" s="8"/>
      <c r="E44" s="8"/>
      <c r="F44" s="8"/>
      <c r="G44" s="8"/>
      <c r="H44" s="13"/>
      <c r="I44" s="8"/>
      <c r="J44" s="8"/>
      <c r="K44" s="15"/>
      <c r="L44" s="15"/>
      <c r="M44" s="8"/>
      <c r="N44" s="8"/>
      <c r="O44" s="19"/>
      <c r="P44" s="8"/>
      <c r="Q44" s="20"/>
      <c r="R44" s="20"/>
      <c r="S44" s="20"/>
    </row>
    <row r="45" spans="1:19" x14ac:dyDescent="0.3">
      <c r="A45" s="18"/>
      <c r="B45" s="18"/>
      <c r="C45" s="8"/>
      <c r="D45" s="8"/>
      <c r="E45" s="8"/>
      <c r="F45" s="8"/>
      <c r="G45" s="8"/>
      <c r="H45" s="13"/>
      <c r="I45" s="8"/>
      <c r="J45" s="8"/>
      <c r="K45" s="15"/>
      <c r="L45" s="15"/>
      <c r="M45" s="8"/>
      <c r="N45" s="8"/>
      <c r="O45" s="19"/>
      <c r="P45" s="8"/>
      <c r="Q45" s="20"/>
      <c r="R45" s="20"/>
      <c r="S45" s="20"/>
    </row>
    <row r="46" spans="1:19" x14ac:dyDescent="0.3">
      <c r="A46" s="18"/>
      <c r="B46" s="18"/>
      <c r="C46" s="8"/>
      <c r="D46" s="8"/>
      <c r="E46" s="8"/>
      <c r="F46" s="8"/>
      <c r="G46" s="8"/>
      <c r="H46" s="13"/>
      <c r="I46" s="8"/>
      <c r="J46" s="8"/>
      <c r="K46" s="15"/>
      <c r="L46" s="15"/>
      <c r="M46" s="8"/>
      <c r="N46" s="8"/>
      <c r="O46" s="19"/>
      <c r="P46" s="8"/>
      <c r="Q46" s="20"/>
      <c r="R46" s="20"/>
      <c r="S46" s="20"/>
    </row>
    <row r="47" spans="1:19" x14ac:dyDescent="0.3">
      <c r="A47" s="18"/>
      <c r="B47" s="18"/>
      <c r="C47" s="8"/>
      <c r="D47" s="8"/>
      <c r="E47" s="8"/>
      <c r="F47" s="8"/>
      <c r="G47" s="8"/>
      <c r="H47" s="13"/>
      <c r="I47" s="8"/>
      <c r="J47" s="8"/>
      <c r="K47" s="15"/>
      <c r="L47" s="15"/>
      <c r="M47" s="8"/>
      <c r="N47" s="8"/>
      <c r="O47" s="19"/>
      <c r="P47" s="8"/>
      <c r="Q47" s="20"/>
      <c r="R47" s="20"/>
      <c r="S47" s="20"/>
    </row>
    <row r="48" spans="1:19" x14ac:dyDescent="0.3">
      <c r="A48" s="18"/>
      <c r="B48" s="18"/>
      <c r="C48" s="8"/>
      <c r="D48" s="8"/>
      <c r="E48" s="8"/>
      <c r="F48" s="8"/>
      <c r="G48" s="8"/>
      <c r="H48" s="13"/>
      <c r="I48" s="8"/>
      <c r="J48" s="8"/>
      <c r="K48" s="15"/>
      <c r="L48" s="15"/>
      <c r="M48" s="8"/>
      <c r="N48" s="8"/>
      <c r="O48" s="19"/>
      <c r="P48" s="8"/>
      <c r="Q48" s="20"/>
      <c r="R48" s="20"/>
      <c r="S48" s="20"/>
    </row>
    <row r="49" spans="1:19" x14ac:dyDescent="0.3">
      <c r="A49" s="18"/>
      <c r="B49" s="18"/>
      <c r="C49" s="8"/>
      <c r="D49" s="8"/>
      <c r="E49" s="8"/>
      <c r="F49" s="8"/>
      <c r="G49" s="8"/>
      <c r="H49" s="13"/>
      <c r="I49" s="8"/>
      <c r="J49" s="8"/>
      <c r="K49" s="15"/>
      <c r="L49" s="15"/>
      <c r="M49" s="8"/>
      <c r="N49" s="8"/>
      <c r="O49" s="19"/>
      <c r="P49" s="8"/>
      <c r="Q49" s="20"/>
      <c r="R49" s="20"/>
      <c r="S49" s="20"/>
    </row>
    <row r="50" spans="1:19" x14ac:dyDescent="0.3">
      <c r="A50" s="18"/>
      <c r="B50" s="18"/>
      <c r="C50" s="8"/>
      <c r="D50" s="8"/>
      <c r="E50" s="8"/>
      <c r="F50" s="8"/>
      <c r="G50" s="8"/>
      <c r="H50" s="13"/>
      <c r="I50" s="8"/>
      <c r="J50" s="8"/>
      <c r="K50" s="15"/>
      <c r="L50" s="15"/>
      <c r="M50" s="8"/>
      <c r="N50" s="8"/>
      <c r="O50" s="19"/>
      <c r="P50" s="8"/>
      <c r="Q50" s="20"/>
      <c r="R50" s="20"/>
      <c r="S50" s="20"/>
    </row>
    <row r="51" spans="1:19" x14ac:dyDescent="0.3">
      <c r="A51" s="18"/>
      <c r="B51" s="18"/>
      <c r="C51" s="8"/>
      <c r="D51" s="8"/>
      <c r="E51" s="8"/>
      <c r="F51" s="8"/>
      <c r="G51" s="8"/>
      <c r="H51" s="13"/>
      <c r="I51" s="8"/>
      <c r="J51" s="8"/>
      <c r="K51" s="15"/>
      <c r="L51" s="15"/>
      <c r="M51" s="8"/>
      <c r="N51" s="8"/>
      <c r="O51" s="19"/>
      <c r="P51" s="8"/>
      <c r="Q51" s="20"/>
      <c r="R51" s="20"/>
      <c r="S51" s="20"/>
    </row>
    <row r="52" spans="1:19" x14ac:dyDescent="0.3">
      <c r="A52" s="18"/>
      <c r="B52" s="18"/>
      <c r="C52" s="8"/>
      <c r="D52" s="8"/>
      <c r="E52" s="8"/>
      <c r="F52" s="8"/>
      <c r="G52" s="8"/>
      <c r="H52" s="13"/>
      <c r="I52" s="8"/>
      <c r="J52" s="8"/>
      <c r="K52" s="15"/>
      <c r="L52" s="15"/>
      <c r="M52" s="8"/>
      <c r="N52" s="8"/>
      <c r="O52" s="19"/>
      <c r="P52" s="8"/>
      <c r="Q52" s="20"/>
      <c r="R52" s="20"/>
      <c r="S52" s="20"/>
    </row>
    <row r="53" spans="1:19" x14ac:dyDescent="0.3">
      <c r="A53" s="18"/>
      <c r="B53" s="18"/>
      <c r="C53" s="8"/>
      <c r="D53" s="8"/>
      <c r="E53" s="8"/>
      <c r="F53" s="8"/>
      <c r="G53" s="8"/>
      <c r="H53" s="13"/>
      <c r="I53" s="8"/>
      <c r="J53" s="8"/>
      <c r="K53" s="15"/>
      <c r="L53" s="15"/>
      <c r="M53" s="8"/>
      <c r="N53" s="8"/>
      <c r="O53" s="19"/>
      <c r="P53" s="8"/>
      <c r="Q53" s="20"/>
      <c r="R53" s="20"/>
      <c r="S53" s="20"/>
    </row>
    <row r="54" spans="1:19" x14ac:dyDescent="0.3">
      <c r="A54" s="18"/>
      <c r="B54" s="18"/>
      <c r="C54" s="8"/>
      <c r="D54" s="8"/>
      <c r="E54" s="8"/>
      <c r="F54" s="8"/>
      <c r="G54" s="8"/>
      <c r="H54" s="13"/>
      <c r="I54" s="8"/>
      <c r="J54" s="8"/>
      <c r="K54" s="15"/>
      <c r="L54" s="15"/>
      <c r="M54" s="8"/>
      <c r="N54" s="8"/>
      <c r="O54" s="19"/>
      <c r="P54" s="8"/>
      <c r="Q54" s="20"/>
      <c r="R54" s="20"/>
      <c r="S54" s="20"/>
    </row>
    <row r="55" spans="1:19" x14ac:dyDescent="0.3">
      <c r="A55" s="18"/>
      <c r="B55" s="18"/>
      <c r="C55" s="8"/>
      <c r="D55" s="8"/>
      <c r="E55" s="8"/>
      <c r="F55" s="8"/>
      <c r="G55" s="8"/>
      <c r="H55" s="13"/>
      <c r="I55" s="8"/>
      <c r="J55" s="8"/>
      <c r="K55" s="15"/>
      <c r="L55" s="15"/>
      <c r="M55" s="8"/>
      <c r="N55" s="8"/>
      <c r="O55" s="19"/>
      <c r="P55" s="8"/>
      <c r="Q55" s="20"/>
      <c r="R55" s="20"/>
      <c r="S55" s="20"/>
    </row>
    <row r="56" spans="1:19" x14ac:dyDescent="0.3">
      <c r="A56" s="18"/>
      <c r="B56" s="18"/>
      <c r="C56" s="8"/>
      <c r="D56" s="8"/>
      <c r="E56" s="8"/>
      <c r="F56" s="8"/>
      <c r="G56" s="8"/>
      <c r="H56" s="13"/>
      <c r="I56" s="8"/>
      <c r="J56" s="8"/>
      <c r="K56" s="15"/>
      <c r="L56" s="15"/>
      <c r="M56" s="8"/>
      <c r="N56" s="8"/>
      <c r="O56" s="19"/>
      <c r="P56" s="8"/>
      <c r="Q56" s="20"/>
      <c r="R56" s="20"/>
      <c r="S56" s="20"/>
    </row>
    <row r="57" spans="1:19" x14ac:dyDescent="0.3">
      <c r="A57" s="18"/>
      <c r="B57" s="18"/>
      <c r="C57" s="8"/>
      <c r="D57" s="8"/>
      <c r="E57" s="8"/>
      <c r="F57" s="8"/>
      <c r="G57" s="8"/>
      <c r="H57" s="13"/>
      <c r="I57" s="8"/>
      <c r="J57" s="8"/>
      <c r="K57" s="15"/>
      <c r="L57" s="15"/>
      <c r="M57" s="8"/>
      <c r="N57" s="8"/>
      <c r="O57" s="19"/>
      <c r="P57" s="8"/>
      <c r="Q57" s="20"/>
      <c r="R57" s="20"/>
      <c r="S57" s="20"/>
    </row>
    <row r="58" spans="1:19" x14ac:dyDescent="0.3">
      <c r="A58" s="18"/>
      <c r="B58" s="18"/>
      <c r="C58" s="8"/>
      <c r="D58" s="8"/>
      <c r="E58" s="8"/>
      <c r="F58" s="8"/>
      <c r="G58" s="8"/>
      <c r="H58" s="13"/>
      <c r="I58" s="8"/>
      <c r="J58" s="8"/>
      <c r="K58" s="15"/>
      <c r="L58" s="15"/>
      <c r="M58" s="8"/>
      <c r="N58" s="8"/>
      <c r="O58" s="19"/>
      <c r="P58" s="8"/>
      <c r="Q58" s="20"/>
      <c r="R58" s="20"/>
      <c r="S58" s="20"/>
    </row>
    <row r="59" spans="1:19" x14ac:dyDescent="0.3">
      <c r="A59" s="18"/>
      <c r="B59" s="18"/>
      <c r="C59" s="8"/>
      <c r="D59" s="8"/>
      <c r="E59" s="8"/>
      <c r="F59" s="8"/>
      <c r="G59" s="8"/>
      <c r="H59" s="13"/>
      <c r="I59" s="8"/>
      <c r="J59" s="8"/>
      <c r="K59" s="15"/>
      <c r="L59" s="15"/>
      <c r="M59" s="8"/>
      <c r="N59" s="8"/>
      <c r="O59" s="19"/>
      <c r="P59" s="8"/>
      <c r="Q59" s="20"/>
      <c r="R59" s="20"/>
      <c r="S59" s="20"/>
    </row>
    <row r="60" spans="1:19" x14ac:dyDescent="0.3">
      <c r="A60" s="18"/>
      <c r="B60" s="18"/>
      <c r="C60" s="8"/>
      <c r="D60" s="8"/>
      <c r="E60" s="8"/>
      <c r="F60" s="8"/>
      <c r="G60" s="8"/>
      <c r="H60" s="13"/>
      <c r="I60" s="8"/>
      <c r="J60" s="8"/>
      <c r="K60" s="15"/>
      <c r="L60" s="15"/>
      <c r="M60" s="8"/>
      <c r="N60" s="8"/>
      <c r="O60" s="19"/>
      <c r="P60" s="8"/>
      <c r="Q60" s="20"/>
      <c r="R60" s="20"/>
      <c r="S60" s="20"/>
    </row>
    <row r="61" spans="1:19" x14ac:dyDescent="0.3">
      <c r="A61" s="18"/>
      <c r="B61" s="18"/>
      <c r="C61" s="8"/>
      <c r="D61" s="8"/>
      <c r="E61" s="8"/>
      <c r="F61" s="8"/>
      <c r="G61" s="8"/>
      <c r="H61" s="13"/>
      <c r="I61" s="8"/>
      <c r="J61" s="8"/>
      <c r="K61" s="15"/>
      <c r="L61" s="15"/>
      <c r="M61" s="8"/>
      <c r="N61" s="8"/>
      <c r="O61" s="19"/>
      <c r="P61" s="8"/>
      <c r="Q61" s="20"/>
      <c r="R61" s="20"/>
      <c r="S61" s="20"/>
    </row>
    <row r="62" spans="1:19" x14ac:dyDescent="0.3">
      <c r="A62" s="18"/>
      <c r="B62" s="18"/>
      <c r="C62" s="8"/>
      <c r="D62" s="8"/>
      <c r="E62" s="8"/>
      <c r="F62" s="8"/>
      <c r="G62" s="8"/>
      <c r="H62" s="13"/>
      <c r="I62" s="8"/>
      <c r="J62" s="8"/>
      <c r="K62" s="15"/>
      <c r="L62" s="15"/>
      <c r="M62" s="8"/>
      <c r="N62" s="8"/>
      <c r="O62" s="19"/>
      <c r="P62" s="8"/>
      <c r="Q62" s="20"/>
      <c r="R62" s="20"/>
      <c r="S62" s="20"/>
    </row>
    <row r="63" spans="1:19" x14ac:dyDescent="0.3">
      <c r="A63" s="18"/>
      <c r="B63" s="18"/>
      <c r="C63" s="8"/>
      <c r="D63" s="8"/>
      <c r="E63" s="8"/>
      <c r="F63" s="8"/>
      <c r="G63" s="8"/>
      <c r="H63" s="13"/>
      <c r="I63" s="8"/>
      <c r="J63" s="8"/>
      <c r="K63" s="15"/>
      <c r="L63" s="15"/>
      <c r="M63" s="8"/>
      <c r="N63" s="8"/>
      <c r="O63" s="19"/>
      <c r="P63" s="8"/>
      <c r="Q63" s="20"/>
      <c r="R63" s="20"/>
      <c r="S63" s="20"/>
    </row>
    <row r="64" spans="1:19" x14ac:dyDescent="0.3">
      <c r="A64" s="18"/>
      <c r="B64" s="18"/>
      <c r="C64" s="8"/>
      <c r="D64" s="8"/>
      <c r="E64" s="8"/>
      <c r="F64" s="8"/>
      <c r="G64" s="8"/>
      <c r="H64" s="13"/>
      <c r="I64" s="8"/>
      <c r="J64" s="8"/>
      <c r="K64" s="15"/>
      <c r="L64" s="15"/>
      <c r="M64" s="8"/>
      <c r="N64" s="8"/>
      <c r="O64" s="19"/>
      <c r="P64" s="8"/>
      <c r="Q64" s="20"/>
      <c r="R64" s="20"/>
      <c r="S64" s="20"/>
    </row>
    <row r="65" spans="1:19" x14ac:dyDescent="0.3">
      <c r="A65" s="18"/>
      <c r="B65" s="18"/>
      <c r="C65" s="8"/>
      <c r="D65" s="8"/>
      <c r="E65" s="8"/>
      <c r="F65" s="8"/>
      <c r="G65" s="8"/>
      <c r="H65" s="13"/>
      <c r="I65" s="8"/>
      <c r="J65" s="8"/>
      <c r="K65" s="15"/>
      <c r="L65" s="15"/>
      <c r="M65" s="8"/>
      <c r="N65" s="8"/>
      <c r="O65" s="19"/>
      <c r="P65" s="8"/>
      <c r="Q65" s="20"/>
      <c r="R65" s="20"/>
      <c r="S65" s="20"/>
    </row>
    <row r="66" spans="1:19" x14ac:dyDescent="0.3">
      <c r="A66" s="18"/>
      <c r="B66" s="18"/>
      <c r="C66" s="8"/>
      <c r="D66" s="8"/>
      <c r="E66" s="8"/>
      <c r="F66" s="8"/>
      <c r="G66" s="8"/>
      <c r="H66" s="13"/>
      <c r="I66" s="8"/>
      <c r="J66" s="8"/>
      <c r="K66" s="15"/>
      <c r="L66" s="15"/>
      <c r="M66" s="8"/>
      <c r="N66" s="8"/>
      <c r="O66" s="19"/>
      <c r="P66" s="8"/>
      <c r="Q66" s="20"/>
      <c r="R66" s="20"/>
      <c r="S66" s="20"/>
    </row>
    <row r="67" spans="1:19" x14ac:dyDescent="0.3">
      <c r="A67" s="18"/>
      <c r="B67" s="18"/>
      <c r="C67" s="8"/>
      <c r="D67" s="8"/>
      <c r="E67" s="8"/>
      <c r="F67" s="8"/>
      <c r="G67" s="8"/>
      <c r="H67" s="13"/>
      <c r="I67" s="8"/>
      <c r="J67" s="8"/>
      <c r="K67" s="15"/>
      <c r="L67" s="15"/>
      <c r="M67" s="8"/>
      <c r="N67" s="8"/>
      <c r="O67" s="19"/>
      <c r="P67" s="8"/>
      <c r="Q67" s="20"/>
      <c r="R67" s="20"/>
      <c r="S67" s="20"/>
    </row>
    <row r="68" spans="1:19" x14ac:dyDescent="0.3">
      <c r="A68" s="18"/>
      <c r="B68" s="18"/>
      <c r="C68" s="8"/>
      <c r="D68" s="8"/>
      <c r="E68" s="8"/>
      <c r="F68" s="8"/>
      <c r="G68" s="8"/>
      <c r="H68" s="13"/>
      <c r="I68" s="8"/>
      <c r="J68" s="8"/>
      <c r="K68" s="15"/>
      <c r="L68" s="15"/>
      <c r="M68" s="8"/>
      <c r="N68" s="8"/>
      <c r="O68" s="19"/>
      <c r="P68" s="8"/>
      <c r="Q68" s="20"/>
      <c r="R68" s="20"/>
      <c r="S68" s="20"/>
    </row>
    <row r="69" spans="1:19" x14ac:dyDescent="0.3">
      <c r="A69" s="18"/>
      <c r="B69" s="18"/>
      <c r="C69" s="8"/>
      <c r="D69" s="8"/>
      <c r="E69" s="8"/>
      <c r="F69" s="8"/>
      <c r="G69" s="8"/>
      <c r="H69" s="13"/>
      <c r="I69" s="8"/>
      <c r="J69" s="8"/>
      <c r="K69" s="15"/>
      <c r="L69" s="15"/>
      <c r="M69" s="8"/>
      <c r="N69" s="8"/>
      <c r="O69" s="19"/>
      <c r="P69" s="8"/>
      <c r="Q69" s="20"/>
      <c r="R69" s="20"/>
      <c r="S69" s="20"/>
    </row>
    <row r="70" spans="1:19" x14ac:dyDescent="0.3">
      <c r="A70" s="18"/>
      <c r="B70" s="18"/>
      <c r="C70" s="8"/>
      <c r="D70" s="8"/>
      <c r="E70" s="8"/>
      <c r="F70" s="8"/>
      <c r="G70" s="8"/>
      <c r="H70" s="13"/>
      <c r="I70" s="8"/>
      <c r="J70" s="8"/>
      <c r="K70" s="15"/>
      <c r="L70" s="15"/>
      <c r="M70" s="8"/>
      <c r="N70" s="8"/>
      <c r="O70" s="19"/>
      <c r="P70" s="8"/>
      <c r="Q70" s="20"/>
      <c r="R70" s="20"/>
      <c r="S70" s="20"/>
    </row>
    <row r="71" spans="1:19" x14ac:dyDescent="0.3">
      <c r="A71" s="18"/>
      <c r="B71" s="18"/>
      <c r="C71" s="8"/>
      <c r="D71" s="8"/>
      <c r="E71" s="8"/>
      <c r="F71" s="8"/>
      <c r="G71" s="8"/>
      <c r="H71" s="13"/>
      <c r="I71" s="8"/>
      <c r="J71" s="8"/>
      <c r="K71" s="15"/>
      <c r="L71" s="15"/>
      <c r="M71" s="8"/>
      <c r="N71" s="8"/>
      <c r="O71" s="19"/>
      <c r="P71" s="8"/>
      <c r="Q71" s="20"/>
      <c r="R71" s="20"/>
      <c r="S71" s="20"/>
    </row>
    <row r="72" spans="1:19" x14ac:dyDescent="0.3">
      <c r="A72" s="18"/>
      <c r="B72" s="18"/>
      <c r="C72" s="8"/>
      <c r="D72" s="8"/>
      <c r="E72" s="8"/>
      <c r="F72" s="8"/>
      <c r="G72" s="8"/>
      <c r="H72" s="13"/>
      <c r="I72" s="8"/>
      <c r="J72" s="8"/>
      <c r="K72" s="15"/>
      <c r="L72" s="15"/>
      <c r="M72" s="8"/>
      <c r="N72" s="8"/>
      <c r="O72" s="19"/>
      <c r="P72" s="8"/>
      <c r="Q72" s="20"/>
      <c r="R72" s="20"/>
      <c r="S72" s="20"/>
    </row>
    <row r="73" spans="1:19" x14ac:dyDescent="0.3">
      <c r="A73" s="18"/>
      <c r="B73" s="18"/>
      <c r="C73" s="8"/>
      <c r="D73" s="8"/>
      <c r="E73" s="8"/>
      <c r="F73" s="8"/>
      <c r="G73" s="8"/>
      <c r="H73" s="13"/>
      <c r="I73" s="8"/>
      <c r="J73" s="8"/>
      <c r="K73" s="15"/>
      <c r="L73" s="15"/>
      <c r="M73" s="8"/>
      <c r="N73" s="8"/>
      <c r="O73" s="19"/>
      <c r="P73" s="8"/>
      <c r="Q73" s="20"/>
      <c r="R73" s="20"/>
      <c r="S73" s="20"/>
    </row>
    <row r="74" spans="1:19" x14ac:dyDescent="0.3">
      <c r="A74" s="18"/>
      <c r="B74" s="18"/>
      <c r="C74" s="8"/>
      <c r="D74" s="8"/>
      <c r="E74" s="8"/>
      <c r="F74" s="8"/>
      <c r="G74" s="8"/>
      <c r="H74" s="13"/>
      <c r="I74" s="8"/>
      <c r="J74" s="8"/>
      <c r="K74" s="15"/>
      <c r="L74" s="15"/>
      <c r="M74" s="8"/>
      <c r="N74" s="8"/>
      <c r="O74" s="19"/>
      <c r="P74" s="8"/>
      <c r="Q74" s="20"/>
      <c r="R74" s="20"/>
      <c r="S74" s="20"/>
    </row>
    <row r="75" spans="1:19" x14ac:dyDescent="0.3">
      <c r="A75" s="18"/>
      <c r="B75" s="18"/>
      <c r="C75" s="8"/>
      <c r="D75" s="8"/>
      <c r="E75" s="8"/>
      <c r="F75" s="8"/>
      <c r="G75" s="8"/>
      <c r="H75" s="13"/>
      <c r="I75" s="8"/>
      <c r="J75" s="8"/>
      <c r="K75" s="15"/>
      <c r="L75" s="15"/>
      <c r="M75" s="8"/>
      <c r="N75" s="8"/>
      <c r="O75" s="19"/>
      <c r="P75" s="8"/>
      <c r="Q75" s="20"/>
      <c r="R75" s="20"/>
      <c r="S75" s="20"/>
    </row>
    <row r="76" spans="1:19" x14ac:dyDescent="0.3">
      <c r="A76" s="18"/>
      <c r="B76" s="18"/>
      <c r="C76" s="8"/>
      <c r="D76" s="8"/>
      <c r="E76" s="8"/>
      <c r="F76" s="8"/>
      <c r="G76" s="8"/>
      <c r="H76" s="13"/>
      <c r="I76" s="8"/>
      <c r="J76" s="8"/>
      <c r="K76" s="15"/>
      <c r="L76" s="15"/>
      <c r="M76" s="8"/>
      <c r="N76" s="8"/>
      <c r="O76" s="19"/>
      <c r="P76" s="8"/>
      <c r="Q76" s="20"/>
      <c r="R76" s="20"/>
      <c r="S76" s="20"/>
    </row>
    <row r="77" spans="1:19" x14ac:dyDescent="0.3">
      <c r="A77" s="18"/>
      <c r="B77" s="18"/>
      <c r="C77" s="8"/>
      <c r="D77" s="8"/>
      <c r="E77" s="8"/>
      <c r="F77" s="8"/>
      <c r="G77" s="8"/>
      <c r="H77" s="13"/>
      <c r="I77" s="8"/>
      <c r="J77" s="8"/>
      <c r="K77" s="15"/>
      <c r="L77" s="15"/>
      <c r="M77" s="8"/>
      <c r="N77" s="8"/>
      <c r="O77" s="19"/>
      <c r="P77" s="8"/>
      <c r="Q77" s="20"/>
      <c r="R77" s="20"/>
      <c r="S77" s="20"/>
    </row>
    <row r="78" spans="1:19" x14ac:dyDescent="0.3">
      <c r="A78" s="18"/>
      <c r="B78" s="18"/>
      <c r="C78" s="8"/>
      <c r="D78" s="8"/>
      <c r="E78" s="8"/>
      <c r="F78" s="8"/>
      <c r="G78" s="8"/>
      <c r="H78" s="13"/>
      <c r="I78" s="8"/>
      <c r="J78" s="8"/>
      <c r="K78" s="15"/>
      <c r="L78" s="15"/>
      <c r="M78" s="8"/>
      <c r="N78" s="8"/>
      <c r="O78" s="19"/>
      <c r="P78" s="8"/>
      <c r="Q78" s="20"/>
      <c r="R78" s="20"/>
      <c r="S78" s="20"/>
    </row>
    <row r="79" spans="1:19" x14ac:dyDescent="0.3">
      <c r="A79" s="18"/>
      <c r="B79" s="18"/>
      <c r="C79" s="8"/>
      <c r="D79" s="8"/>
      <c r="E79" s="8"/>
      <c r="F79" s="8"/>
      <c r="G79" s="8"/>
      <c r="H79" s="13"/>
      <c r="I79" s="8"/>
      <c r="J79" s="8"/>
      <c r="K79" s="15"/>
      <c r="L79" s="15"/>
      <c r="M79" s="8"/>
      <c r="N79" s="8"/>
      <c r="O79" s="19"/>
      <c r="P79" s="8"/>
      <c r="Q79" s="20"/>
      <c r="R79" s="20"/>
      <c r="S79" s="20"/>
    </row>
    <row r="80" spans="1:19" x14ac:dyDescent="0.3">
      <c r="A80" s="18"/>
      <c r="B80" s="18"/>
      <c r="C80" s="8"/>
      <c r="D80" s="8"/>
      <c r="E80" s="8"/>
      <c r="F80" s="8"/>
      <c r="G80" s="8"/>
      <c r="H80" s="13"/>
      <c r="I80" s="8"/>
      <c r="J80" s="8"/>
      <c r="K80" s="15"/>
      <c r="L80" s="15"/>
      <c r="M80" s="8"/>
      <c r="N80" s="8"/>
      <c r="O80" s="19"/>
      <c r="P80" s="8"/>
      <c r="Q80" s="20"/>
      <c r="R80" s="20"/>
      <c r="S80" s="20"/>
    </row>
    <row r="81" spans="1:19" x14ac:dyDescent="0.3">
      <c r="A81" s="18"/>
      <c r="B81" s="18"/>
      <c r="C81" s="8"/>
      <c r="D81" s="8"/>
      <c r="E81" s="8"/>
      <c r="F81" s="8"/>
      <c r="G81" s="8"/>
      <c r="H81" s="13"/>
      <c r="I81" s="8"/>
      <c r="J81" s="8"/>
      <c r="K81" s="15"/>
      <c r="L81" s="15"/>
      <c r="M81" s="8"/>
      <c r="N81" s="8"/>
      <c r="O81" s="19"/>
      <c r="P81" s="8"/>
      <c r="Q81" s="20"/>
      <c r="R81" s="20"/>
      <c r="S81" s="20"/>
    </row>
    <row r="82" spans="1:19" x14ac:dyDescent="0.3">
      <c r="A82" s="18"/>
      <c r="B82" s="18"/>
      <c r="C82" s="8"/>
      <c r="D82" s="8"/>
      <c r="E82" s="8"/>
      <c r="F82" s="8"/>
      <c r="G82" s="8"/>
      <c r="H82" s="13"/>
      <c r="I82" s="8"/>
      <c r="J82" s="8"/>
      <c r="K82" s="15"/>
      <c r="L82" s="15"/>
      <c r="M82" s="8"/>
      <c r="N82" s="8"/>
      <c r="O82" s="19"/>
      <c r="P82" s="8"/>
      <c r="Q82" s="20"/>
      <c r="R82" s="20"/>
      <c r="S82" s="20"/>
    </row>
    <row r="83" spans="1:19" x14ac:dyDescent="0.3">
      <c r="A83" s="18"/>
      <c r="B83" s="18"/>
      <c r="C83" s="8"/>
      <c r="D83" s="8"/>
      <c r="E83" s="8"/>
      <c r="F83" s="8"/>
      <c r="G83" s="8"/>
      <c r="H83" s="13"/>
      <c r="I83" s="8"/>
      <c r="J83" s="8"/>
      <c r="K83" s="15"/>
      <c r="L83" s="15"/>
      <c r="M83" s="8"/>
      <c r="N83" s="8"/>
      <c r="O83" s="19"/>
      <c r="P83" s="8"/>
      <c r="Q83" s="20"/>
      <c r="R83" s="20"/>
      <c r="S83" s="20"/>
    </row>
    <row r="84" spans="1:19" x14ac:dyDescent="0.3">
      <c r="A84" s="18"/>
      <c r="B84" s="18"/>
      <c r="C84" s="8"/>
      <c r="D84" s="8"/>
      <c r="E84" s="8"/>
      <c r="F84" s="8"/>
      <c r="G84" s="8"/>
      <c r="H84" s="13"/>
      <c r="I84" s="8"/>
      <c r="J84" s="8"/>
      <c r="K84" s="15"/>
      <c r="L84" s="15"/>
      <c r="M84" s="8"/>
      <c r="N84" s="8"/>
      <c r="O84" s="19"/>
      <c r="P84" s="8"/>
      <c r="Q84" s="20"/>
      <c r="R84" s="20"/>
      <c r="S84" s="20"/>
    </row>
    <row r="85" spans="1:19" x14ac:dyDescent="0.3">
      <c r="K85" s="16"/>
      <c r="L85" s="16"/>
      <c r="P85" s="8"/>
    </row>
    <row r="86" spans="1:19" x14ac:dyDescent="0.3">
      <c r="K86" s="16"/>
      <c r="L86" s="16"/>
    </row>
    <row r="87" spans="1:19" x14ac:dyDescent="0.3">
      <c r="K87" s="16"/>
      <c r="L87" s="16"/>
    </row>
    <row r="88" spans="1:19" x14ac:dyDescent="0.3">
      <c r="K88" s="16"/>
      <c r="L88" s="16"/>
    </row>
    <row r="89" spans="1:19" x14ac:dyDescent="0.3">
      <c r="K89" s="16"/>
      <c r="L89" s="16"/>
    </row>
    <row r="90" spans="1:19" x14ac:dyDescent="0.3">
      <c r="K90" s="16"/>
      <c r="L90" s="16"/>
    </row>
    <row r="91" spans="1:19" x14ac:dyDescent="0.3">
      <c r="K91" s="16"/>
      <c r="L91" s="16"/>
    </row>
    <row r="92" spans="1:19" x14ac:dyDescent="0.3">
      <c r="K92" s="16"/>
      <c r="L92" s="16"/>
    </row>
    <row r="93" spans="1:19" x14ac:dyDescent="0.3">
      <c r="K93" s="16"/>
      <c r="L93" s="16"/>
    </row>
    <row r="94" spans="1:19" x14ac:dyDescent="0.3">
      <c r="K94" s="16"/>
      <c r="L94" s="16"/>
    </row>
    <row r="95" spans="1:19" x14ac:dyDescent="0.3">
      <c r="K95" s="16"/>
      <c r="L95" s="16"/>
    </row>
    <row r="96" spans="1:19" x14ac:dyDescent="0.3">
      <c r="K96" s="16"/>
      <c r="L96" s="16"/>
    </row>
    <row r="97" spans="11:12" x14ac:dyDescent="0.3">
      <c r="K97" s="16"/>
      <c r="L97" s="16"/>
    </row>
    <row r="98" spans="11:12" x14ac:dyDescent="0.3">
      <c r="K98" s="16"/>
      <c r="L98" s="16"/>
    </row>
    <row r="99" spans="11:12" x14ac:dyDescent="0.3">
      <c r="K99" s="16"/>
      <c r="L99" s="16"/>
    </row>
    <row r="100" spans="11:12" x14ac:dyDescent="0.3">
      <c r="K100" s="16"/>
      <c r="L100" s="16"/>
    </row>
    <row r="101" spans="11:12" x14ac:dyDescent="0.3">
      <c r="K101" s="16"/>
      <c r="L101" s="16"/>
    </row>
    <row r="102" spans="11:12" x14ac:dyDescent="0.3">
      <c r="K102" s="16"/>
      <c r="L102" s="16"/>
    </row>
    <row r="103" spans="11:12" x14ac:dyDescent="0.3">
      <c r="K103" s="16"/>
      <c r="L103" s="16"/>
    </row>
    <row r="104" spans="11:12" x14ac:dyDescent="0.3">
      <c r="K104" s="16"/>
      <c r="L104" s="16"/>
    </row>
    <row r="105" spans="11:12" x14ac:dyDescent="0.3">
      <c r="K105" s="16"/>
      <c r="L105" s="16"/>
    </row>
    <row r="106" spans="11:12" x14ac:dyDescent="0.3">
      <c r="K106" s="16"/>
      <c r="L106" s="16"/>
    </row>
    <row r="107" spans="11:12" x14ac:dyDescent="0.3">
      <c r="K107" s="16"/>
      <c r="L107" s="16"/>
    </row>
    <row r="108" spans="11:12" x14ac:dyDescent="0.3">
      <c r="K108" s="16"/>
      <c r="L108" s="16"/>
    </row>
    <row r="109" spans="11:12" x14ac:dyDescent="0.3">
      <c r="K109" s="16"/>
      <c r="L109" s="16"/>
    </row>
    <row r="110" spans="11:12" x14ac:dyDescent="0.3">
      <c r="K110" s="16"/>
      <c r="L110" s="16"/>
    </row>
    <row r="111" spans="11:12" x14ac:dyDescent="0.3">
      <c r="K111" s="16"/>
      <c r="L111" s="16"/>
    </row>
    <row r="112" spans="11:12" x14ac:dyDescent="0.3">
      <c r="K112" s="16"/>
      <c r="L112" s="16"/>
    </row>
    <row r="113" spans="11:12" x14ac:dyDescent="0.3">
      <c r="K113" s="16"/>
      <c r="L113" s="16"/>
    </row>
    <row r="114" spans="11:12" x14ac:dyDescent="0.3">
      <c r="K114" s="16"/>
      <c r="L114" s="16"/>
    </row>
    <row r="115" spans="11:12" x14ac:dyDescent="0.3">
      <c r="K115" s="16"/>
      <c r="L115" s="16"/>
    </row>
    <row r="116" spans="11:12" x14ac:dyDescent="0.3">
      <c r="K116" s="16"/>
      <c r="L116" s="16"/>
    </row>
    <row r="117" spans="11:12" x14ac:dyDescent="0.3">
      <c r="K117" s="16"/>
      <c r="L117" s="16"/>
    </row>
    <row r="118" spans="11:12" x14ac:dyDescent="0.3">
      <c r="K118" s="16"/>
      <c r="L118" s="16"/>
    </row>
    <row r="119" spans="11:12" x14ac:dyDescent="0.3">
      <c r="K119" s="16"/>
      <c r="L119" s="16"/>
    </row>
    <row r="120" spans="11:12" x14ac:dyDescent="0.3">
      <c r="K120" s="16"/>
      <c r="L120" s="16"/>
    </row>
    <row r="121" spans="11:12" x14ac:dyDescent="0.3">
      <c r="K121" s="16"/>
      <c r="L121" s="16"/>
    </row>
    <row r="122" spans="11:12" x14ac:dyDescent="0.3">
      <c r="K122" s="16"/>
      <c r="L122" s="16"/>
    </row>
    <row r="123" spans="11:12" x14ac:dyDescent="0.3">
      <c r="K123" s="16"/>
      <c r="L123" s="16"/>
    </row>
    <row r="124" spans="11:12" x14ac:dyDescent="0.3">
      <c r="K124" s="16"/>
      <c r="L124" s="16"/>
    </row>
    <row r="125" spans="11:12" x14ac:dyDescent="0.3">
      <c r="K125" s="16"/>
      <c r="L125" s="16"/>
    </row>
    <row r="126" spans="11:12" x14ac:dyDescent="0.3">
      <c r="K126" s="16"/>
      <c r="L126" s="16"/>
    </row>
    <row r="127" spans="11:12" x14ac:dyDescent="0.3">
      <c r="K127" s="16"/>
      <c r="L127" s="16"/>
    </row>
    <row r="128" spans="11:12" x14ac:dyDescent="0.3">
      <c r="K128" s="16"/>
      <c r="L128" s="16"/>
    </row>
    <row r="129" spans="11:12" x14ac:dyDescent="0.3">
      <c r="K129" s="16"/>
      <c r="L129" s="16"/>
    </row>
    <row r="130" spans="11:12" x14ac:dyDescent="0.3">
      <c r="K130" s="16"/>
      <c r="L130" s="16"/>
    </row>
    <row r="131" spans="11:12" x14ac:dyDescent="0.3">
      <c r="K131" s="16"/>
      <c r="L131" s="16"/>
    </row>
    <row r="132" spans="11:12" x14ac:dyDescent="0.3">
      <c r="K132" s="16"/>
      <c r="L132" s="16"/>
    </row>
    <row r="133" spans="11:12" x14ac:dyDescent="0.3">
      <c r="K133" s="16"/>
      <c r="L133" s="16"/>
    </row>
    <row r="134" spans="11:12" x14ac:dyDescent="0.3">
      <c r="K134" s="16"/>
      <c r="L134" s="16"/>
    </row>
    <row r="135" spans="11:12" x14ac:dyDescent="0.3">
      <c r="K135" s="16"/>
      <c r="L135" s="16"/>
    </row>
    <row r="136" spans="11:12" x14ac:dyDescent="0.3">
      <c r="K136" s="16"/>
      <c r="L136" s="16"/>
    </row>
    <row r="137" spans="11:12" x14ac:dyDescent="0.3">
      <c r="K137" s="16"/>
      <c r="L137" s="16"/>
    </row>
    <row r="138" spans="11:12" x14ac:dyDescent="0.3">
      <c r="K138" s="16"/>
      <c r="L138" s="16"/>
    </row>
    <row r="139" spans="11:12" x14ac:dyDescent="0.3">
      <c r="K139" s="16"/>
      <c r="L139" s="16"/>
    </row>
    <row r="140" spans="11:12" x14ac:dyDescent="0.3">
      <c r="K140" s="16"/>
      <c r="L140" s="16"/>
    </row>
    <row r="141" spans="11:12" x14ac:dyDescent="0.3">
      <c r="K141" s="16"/>
      <c r="L141" s="16"/>
    </row>
    <row r="142" spans="11:12" x14ac:dyDescent="0.3">
      <c r="K142" s="16"/>
      <c r="L142" s="16"/>
    </row>
    <row r="143" spans="11:12" x14ac:dyDescent="0.3">
      <c r="K143" s="16"/>
      <c r="L143" s="16"/>
    </row>
    <row r="144" spans="11:12" x14ac:dyDescent="0.3">
      <c r="K144" s="16"/>
      <c r="L144" s="16"/>
    </row>
    <row r="145" spans="11:12" x14ac:dyDescent="0.3">
      <c r="K145" s="16"/>
      <c r="L145" s="16"/>
    </row>
    <row r="146" spans="11:12" x14ac:dyDescent="0.3">
      <c r="K146" s="16"/>
      <c r="L146" s="16"/>
    </row>
    <row r="147" spans="11:12" x14ac:dyDescent="0.3">
      <c r="K147" s="16"/>
      <c r="L147" s="16"/>
    </row>
    <row r="148" spans="11:12" x14ac:dyDescent="0.3">
      <c r="K148" s="16"/>
      <c r="L148" s="16"/>
    </row>
    <row r="149" spans="11:12" x14ac:dyDescent="0.3">
      <c r="K149" s="16"/>
      <c r="L149" s="16"/>
    </row>
    <row r="150" spans="11:12" x14ac:dyDescent="0.3">
      <c r="K150" s="16"/>
      <c r="L150" s="16"/>
    </row>
    <row r="151" spans="11:12" x14ac:dyDescent="0.3">
      <c r="K151" s="16"/>
      <c r="L151" s="16"/>
    </row>
    <row r="152" spans="11:12" x14ac:dyDescent="0.3">
      <c r="K152" s="16"/>
      <c r="L152" s="16"/>
    </row>
    <row r="153" spans="11:12" x14ac:dyDescent="0.3">
      <c r="K153" s="16"/>
      <c r="L153" s="16"/>
    </row>
    <row r="154" spans="11:12" x14ac:dyDescent="0.3">
      <c r="K154" s="16"/>
      <c r="L154" s="16"/>
    </row>
    <row r="155" spans="11:12" x14ac:dyDescent="0.3">
      <c r="K155" s="16"/>
      <c r="L155" s="16"/>
    </row>
    <row r="156" spans="11:12" x14ac:dyDescent="0.3">
      <c r="K156" s="16"/>
      <c r="L156" s="16"/>
    </row>
    <row r="157" spans="11:12" x14ac:dyDescent="0.3">
      <c r="K157" s="16"/>
      <c r="L157" s="16"/>
    </row>
    <row r="158" spans="11:12" x14ac:dyDescent="0.3">
      <c r="K158" s="16"/>
      <c r="L158" s="16"/>
    </row>
    <row r="159" spans="11:12" x14ac:dyDescent="0.3">
      <c r="K159" s="16"/>
      <c r="L159" s="16"/>
    </row>
    <row r="160" spans="11:12" x14ac:dyDescent="0.3">
      <c r="K160" s="16"/>
      <c r="L160" s="16"/>
    </row>
    <row r="161" spans="11:12" x14ac:dyDescent="0.3">
      <c r="K161" s="16"/>
      <c r="L161" s="16"/>
    </row>
    <row r="162" spans="11:12" x14ac:dyDescent="0.3">
      <c r="K162" s="16"/>
      <c r="L162" s="16"/>
    </row>
    <row r="163" spans="11:12" x14ac:dyDescent="0.3">
      <c r="K163" s="16"/>
      <c r="L163" s="16"/>
    </row>
    <row r="164" spans="11:12" x14ac:dyDescent="0.3">
      <c r="K164" s="16"/>
      <c r="L164" s="16"/>
    </row>
    <row r="165" spans="11:12" x14ac:dyDescent="0.3">
      <c r="K165" s="16"/>
      <c r="L165" s="16"/>
    </row>
    <row r="166" spans="11:12" x14ac:dyDescent="0.3">
      <c r="K166" s="16"/>
      <c r="L166" s="16"/>
    </row>
    <row r="167" spans="11:12" x14ac:dyDescent="0.3">
      <c r="K167" s="16"/>
      <c r="L167" s="16"/>
    </row>
    <row r="168" spans="11:12" x14ac:dyDescent="0.3">
      <c r="K168" s="16"/>
      <c r="L168" s="16"/>
    </row>
    <row r="169" spans="11:12" x14ac:dyDescent="0.3">
      <c r="K169" s="16"/>
      <c r="L169" s="16"/>
    </row>
    <row r="170" spans="11:12" x14ac:dyDescent="0.3">
      <c r="K170" s="16"/>
      <c r="L170" s="16"/>
    </row>
    <row r="171" spans="11:12" x14ac:dyDescent="0.3">
      <c r="K171" s="16"/>
      <c r="L171" s="16"/>
    </row>
    <row r="172" spans="11:12" x14ac:dyDescent="0.3">
      <c r="K172" s="16"/>
      <c r="L172" s="16"/>
    </row>
    <row r="173" spans="11:12" x14ac:dyDescent="0.3">
      <c r="K173" s="16"/>
      <c r="L173" s="16"/>
    </row>
    <row r="174" spans="11:12" x14ac:dyDescent="0.3">
      <c r="K174" s="16"/>
      <c r="L174" s="16"/>
    </row>
    <row r="175" spans="11:12" x14ac:dyDescent="0.3">
      <c r="K175" s="16"/>
      <c r="L175" s="16"/>
    </row>
    <row r="176" spans="11:12" x14ac:dyDescent="0.3">
      <c r="K176" s="16"/>
      <c r="L176" s="16"/>
    </row>
    <row r="177" spans="11:12" x14ac:dyDescent="0.3">
      <c r="K177" s="16"/>
      <c r="L177" s="16"/>
    </row>
    <row r="178" spans="11:12" x14ac:dyDescent="0.3">
      <c r="K178" s="16"/>
      <c r="L178" s="16"/>
    </row>
    <row r="179" spans="11:12" x14ac:dyDescent="0.3">
      <c r="K179" s="16"/>
      <c r="L179" s="16"/>
    </row>
    <row r="180" spans="11:12" x14ac:dyDescent="0.3">
      <c r="K180" s="16"/>
      <c r="L180" s="16"/>
    </row>
    <row r="181" spans="11:12" x14ac:dyDescent="0.3">
      <c r="K181" s="16"/>
      <c r="L181" s="16"/>
    </row>
    <row r="182" spans="11:12" x14ac:dyDescent="0.3">
      <c r="K182" s="16"/>
      <c r="L182" s="16"/>
    </row>
    <row r="183" spans="11:12" x14ac:dyDescent="0.3">
      <c r="K183" s="16"/>
      <c r="L183" s="16"/>
    </row>
    <row r="184" spans="11:12" x14ac:dyDescent="0.3">
      <c r="K184" s="16"/>
      <c r="L184" s="16"/>
    </row>
    <row r="185" spans="11:12" x14ac:dyDescent="0.3">
      <c r="K185" s="16"/>
      <c r="L185" s="16"/>
    </row>
    <row r="186" spans="11:12" x14ac:dyDescent="0.3">
      <c r="K186" s="16"/>
      <c r="L186" s="16"/>
    </row>
    <row r="187" spans="11:12" x14ac:dyDescent="0.3">
      <c r="K187" s="16"/>
      <c r="L187" s="16"/>
    </row>
    <row r="188" spans="11:12" x14ac:dyDescent="0.3">
      <c r="K188" s="16"/>
      <c r="L188" s="16"/>
    </row>
    <row r="189" spans="11:12" x14ac:dyDescent="0.3">
      <c r="K189" s="16"/>
      <c r="L189" s="16"/>
    </row>
    <row r="190" spans="11:12" x14ac:dyDescent="0.3">
      <c r="K190" s="16"/>
      <c r="L190" s="16"/>
    </row>
    <row r="191" spans="11:12" x14ac:dyDescent="0.3">
      <c r="K191" s="16"/>
      <c r="L191" s="16"/>
    </row>
    <row r="192" spans="11:12" x14ac:dyDescent="0.3">
      <c r="K192" s="16"/>
      <c r="L192" s="16"/>
    </row>
    <row r="193" spans="11:12" x14ac:dyDescent="0.3">
      <c r="K193" s="16"/>
      <c r="L193" s="16"/>
    </row>
    <row r="194" spans="11:12" x14ac:dyDescent="0.3">
      <c r="K194" s="16"/>
      <c r="L194" s="16"/>
    </row>
    <row r="195" spans="11:12" x14ac:dyDescent="0.3">
      <c r="K195" s="16"/>
      <c r="L195" s="16"/>
    </row>
    <row r="196" spans="11:12" x14ac:dyDescent="0.3">
      <c r="K196" s="16"/>
      <c r="L196" s="16"/>
    </row>
    <row r="197" spans="11:12" x14ac:dyDescent="0.3">
      <c r="K197" s="16"/>
      <c r="L197" s="16"/>
    </row>
    <row r="198" spans="11:12" x14ac:dyDescent="0.3">
      <c r="K198" s="16"/>
      <c r="L198" s="16"/>
    </row>
    <row r="199" spans="11:12" x14ac:dyDescent="0.3">
      <c r="K199" s="16"/>
      <c r="L199" s="16"/>
    </row>
    <row r="200" spans="11:12" x14ac:dyDescent="0.3">
      <c r="K200" s="16"/>
      <c r="L200" s="16"/>
    </row>
    <row r="201" spans="11:12" x14ac:dyDescent="0.3">
      <c r="K201" s="16"/>
      <c r="L201" s="16"/>
    </row>
    <row r="202" spans="11:12" x14ac:dyDescent="0.3">
      <c r="K202" s="16"/>
      <c r="L202" s="16"/>
    </row>
    <row r="203" spans="11:12" x14ac:dyDescent="0.3">
      <c r="K203" s="16"/>
      <c r="L203" s="16"/>
    </row>
    <row r="204" spans="11:12" x14ac:dyDescent="0.3">
      <c r="K204" s="16"/>
      <c r="L204" s="16"/>
    </row>
    <row r="205" spans="11:12" x14ac:dyDescent="0.3">
      <c r="K205" s="16"/>
      <c r="L205" s="16"/>
    </row>
    <row r="206" spans="11:12" x14ac:dyDescent="0.3">
      <c r="K206" s="16"/>
      <c r="L206" s="16"/>
    </row>
    <row r="207" spans="11:12" x14ac:dyDescent="0.3">
      <c r="K207" s="16"/>
      <c r="L207" s="16"/>
    </row>
    <row r="208" spans="11:12" x14ac:dyDescent="0.3">
      <c r="K208" s="16"/>
      <c r="L208" s="16"/>
    </row>
    <row r="209" spans="11:12" x14ac:dyDescent="0.3">
      <c r="K209" s="16"/>
      <c r="L209" s="16"/>
    </row>
    <row r="210" spans="11:12" x14ac:dyDescent="0.3">
      <c r="K210" s="16"/>
      <c r="L210" s="16"/>
    </row>
    <row r="211" spans="11:12" x14ac:dyDescent="0.3">
      <c r="K211" s="16"/>
      <c r="L211" s="16"/>
    </row>
    <row r="212" spans="11:12" x14ac:dyDescent="0.3">
      <c r="K212" s="16"/>
      <c r="L212" s="16"/>
    </row>
    <row r="213" spans="11:12" x14ac:dyDescent="0.3">
      <c r="K213" s="16"/>
      <c r="L213" s="16"/>
    </row>
    <row r="214" spans="11:12" x14ac:dyDescent="0.3">
      <c r="K214" s="16"/>
      <c r="L214" s="16"/>
    </row>
    <row r="215" spans="11:12" x14ac:dyDescent="0.3">
      <c r="K215" s="16"/>
      <c r="L215" s="16"/>
    </row>
    <row r="216" spans="11:12" x14ac:dyDescent="0.3">
      <c r="K216" s="16"/>
      <c r="L216" s="16"/>
    </row>
    <row r="217" spans="11:12" x14ac:dyDescent="0.3">
      <c r="K217" s="16"/>
      <c r="L217" s="16"/>
    </row>
    <row r="218" spans="11:12" x14ac:dyDescent="0.3">
      <c r="K218" s="16"/>
      <c r="L218" s="16"/>
    </row>
    <row r="219" spans="11:12" x14ac:dyDescent="0.3">
      <c r="K219" s="16"/>
      <c r="L219" s="16"/>
    </row>
    <row r="220" spans="11:12" x14ac:dyDescent="0.3">
      <c r="K220" s="16"/>
      <c r="L220" s="16"/>
    </row>
    <row r="221" spans="11:12" x14ac:dyDescent="0.3">
      <c r="K221" s="16"/>
      <c r="L221" s="16"/>
    </row>
    <row r="222" spans="11:12" x14ac:dyDescent="0.3">
      <c r="K222" s="16"/>
      <c r="L222" s="16"/>
    </row>
    <row r="223" spans="11:12" x14ac:dyDescent="0.3">
      <c r="K223" s="16"/>
      <c r="L223" s="16"/>
    </row>
    <row r="224" spans="11:12" x14ac:dyDescent="0.3">
      <c r="K224" s="16"/>
      <c r="L224" s="16"/>
    </row>
    <row r="225" spans="11:12" x14ac:dyDescent="0.3">
      <c r="K225" s="16"/>
      <c r="L225" s="16"/>
    </row>
    <row r="226" spans="11:12" x14ac:dyDescent="0.3">
      <c r="K226" s="16"/>
      <c r="L226" s="16"/>
    </row>
    <row r="227" spans="11:12" x14ac:dyDescent="0.3">
      <c r="K227" s="16"/>
      <c r="L227" s="16"/>
    </row>
    <row r="228" spans="11:12" x14ac:dyDescent="0.3">
      <c r="K228" s="16"/>
      <c r="L228" s="16"/>
    </row>
    <row r="229" spans="11:12" x14ac:dyDescent="0.3">
      <c r="K229" s="16"/>
      <c r="L229" s="16"/>
    </row>
    <row r="230" spans="11:12" x14ac:dyDescent="0.3">
      <c r="K230" s="16"/>
      <c r="L230" s="16"/>
    </row>
    <row r="231" spans="11:12" x14ac:dyDescent="0.3">
      <c r="K231" s="16"/>
      <c r="L231" s="16"/>
    </row>
    <row r="232" spans="11:12" x14ac:dyDescent="0.3">
      <c r="K232" s="16"/>
      <c r="L232" s="16"/>
    </row>
    <row r="233" spans="11:12" x14ac:dyDescent="0.3">
      <c r="K233" s="16"/>
      <c r="L233" s="16"/>
    </row>
    <row r="234" spans="11:12" x14ac:dyDescent="0.3">
      <c r="K234" s="16"/>
      <c r="L234" s="16"/>
    </row>
    <row r="235" spans="11:12" x14ac:dyDescent="0.3">
      <c r="K235" s="16"/>
      <c r="L235" s="16"/>
    </row>
    <row r="236" spans="11:12" x14ac:dyDescent="0.3">
      <c r="K236" s="16"/>
      <c r="L236" s="16"/>
    </row>
    <row r="237" spans="11:12" x14ac:dyDescent="0.3">
      <c r="K237" s="16"/>
      <c r="L237" s="16"/>
    </row>
    <row r="238" spans="11:12" x14ac:dyDescent="0.3">
      <c r="K238" s="16"/>
      <c r="L238" s="16"/>
    </row>
    <row r="239" spans="11:12" x14ac:dyDescent="0.3">
      <c r="K239" s="16"/>
      <c r="L239" s="16"/>
    </row>
    <row r="240" spans="11:12" x14ac:dyDescent="0.3">
      <c r="K240" s="16"/>
      <c r="L240" s="16"/>
    </row>
    <row r="241" spans="11:12" x14ac:dyDescent="0.3">
      <c r="K241" s="16"/>
      <c r="L241" s="16"/>
    </row>
    <row r="242" spans="11:12" x14ac:dyDescent="0.3">
      <c r="K242" s="16"/>
      <c r="L242" s="16"/>
    </row>
    <row r="243" spans="11:12" x14ac:dyDescent="0.3">
      <c r="K243" s="16"/>
      <c r="L243" s="16"/>
    </row>
    <row r="244" spans="11:12" x14ac:dyDescent="0.3">
      <c r="K244" s="16"/>
      <c r="L244" s="16"/>
    </row>
    <row r="245" spans="11:12" x14ac:dyDescent="0.3">
      <c r="K245" s="16"/>
      <c r="L245" s="16"/>
    </row>
    <row r="246" spans="11:12" x14ac:dyDescent="0.3">
      <c r="K246" s="16"/>
      <c r="L246" s="16"/>
    </row>
    <row r="247" spans="11:12" x14ac:dyDescent="0.3">
      <c r="K247" s="16"/>
      <c r="L247" s="16"/>
    </row>
    <row r="248" spans="11:12" x14ac:dyDescent="0.3">
      <c r="K248" s="16"/>
      <c r="L248" s="16"/>
    </row>
    <row r="249" spans="11:12" x14ac:dyDescent="0.3">
      <c r="K249" s="16"/>
      <c r="L249" s="16"/>
    </row>
    <row r="250" spans="11:12" x14ac:dyDescent="0.3">
      <c r="K250" s="16"/>
      <c r="L250" s="16"/>
    </row>
    <row r="251" spans="11:12" x14ac:dyDescent="0.3">
      <c r="K251" s="16"/>
      <c r="L251" s="16"/>
    </row>
    <row r="252" spans="11:12" x14ac:dyDescent="0.3">
      <c r="K252" s="16"/>
      <c r="L252" s="16"/>
    </row>
    <row r="253" spans="11:12" x14ac:dyDescent="0.3">
      <c r="K253" s="16"/>
      <c r="L253" s="16"/>
    </row>
    <row r="254" spans="11:12" x14ac:dyDescent="0.3">
      <c r="K254" s="16"/>
      <c r="L254" s="16"/>
    </row>
    <row r="255" spans="11:12" x14ac:dyDescent="0.3">
      <c r="K255" s="16"/>
      <c r="L255" s="16"/>
    </row>
    <row r="256" spans="11:12" x14ac:dyDescent="0.3">
      <c r="K256" s="16"/>
      <c r="L256" s="16"/>
    </row>
    <row r="257" spans="11:12" x14ac:dyDescent="0.3">
      <c r="K257" s="16"/>
      <c r="L257" s="16"/>
    </row>
    <row r="258" spans="11:12" x14ac:dyDescent="0.3">
      <c r="K258" s="16"/>
      <c r="L258" s="16"/>
    </row>
    <row r="259" spans="11:12" x14ac:dyDescent="0.3">
      <c r="K259" s="16"/>
      <c r="L259" s="16"/>
    </row>
    <row r="260" spans="11:12" x14ac:dyDescent="0.3">
      <c r="K260" s="16"/>
      <c r="L260" s="16"/>
    </row>
    <row r="261" spans="11:12" x14ac:dyDescent="0.3">
      <c r="K261" s="16"/>
      <c r="L261" s="16"/>
    </row>
    <row r="262" spans="11:12" x14ac:dyDescent="0.3">
      <c r="K262" s="16"/>
      <c r="L262" s="16"/>
    </row>
    <row r="263" spans="11:12" x14ac:dyDescent="0.3">
      <c r="K263" s="16"/>
      <c r="L263" s="16"/>
    </row>
    <row r="264" spans="11:12" x14ac:dyDescent="0.3">
      <c r="K264" s="16"/>
      <c r="L264" s="16"/>
    </row>
    <row r="265" spans="11:12" x14ac:dyDescent="0.3">
      <c r="K265" s="16"/>
      <c r="L265" s="16"/>
    </row>
    <row r="266" spans="11:12" x14ac:dyDescent="0.3">
      <c r="K266" s="16"/>
      <c r="L266" s="16"/>
    </row>
    <row r="267" spans="11:12" x14ac:dyDescent="0.3">
      <c r="K267" s="16"/>
      <c r="L267" s="16"/>
    </row>
    <row r="268" spans="11:12" x14ac:dyDescent="0.3">
      <c r="K268" s="16"/>
      <c r="L268" s="16"/>
    </row>
    <row r="269" spans="11:12" x14ac:dyDescent="0.3">
      <c r="K269" s="16"/>
      <c r="L269" s="16"/>
    </row>
    <row r="270" spans="11:12" x14ac:dyDescent="0.3">
      <c r="K270" s="16"/>
      <c r="L270" s="16"/>
    </row>
    <row r="271" spans="11:12" x14ac:dyDescent="0.3">
      <c r="K271" s="16"/>
      <c r="L271" s="16"/>
    </row>
    <row r="272" spans="11:12" x14ac:dyDescent="0.3">
      <c r="K272" s="16"/>
      <c r="L272" s="16"/>
    </row>
    <row r="273" spans="11:12" x14ac:dyDescent="0.3">
      <c r="K273" s="16"/>
      <c r="L273" s="16"/>
    </row>
    <row r="274" spans="11:12" x14ac:dyDescent="0.3">
      <c r="K274" s="16"/>
      <c r="L274" s="16"/>
    </row>
    <row r="275" spans="11:12" x14ac:dyDescent="0.3">
      <c r="K275" s="16"/>
      <c r="L275" s="16"/>
    </row>
    <row r="276" spans="11:12" x14ac:dyDescent="0.3">
      <c r="K276" s="16"/>
      <c r="L276" s="16"/>
    </row>
    <row r="277" spans="11:12" x14ac:dyDescent="0.3">
      <c r="K277" s="16"/>
      <c r="L277" s="16"/>
    </row>
    <row r="278" spans="11:12" x14ac:dyDescent="0.3">
      <c r="K278" s="16"/>
      <c r="L278" s="16"/>
    </row>
    <row r="279" spans="11:12" x14ac:dyDescent="0.3">
      <c r="K279" s="16"/>
      <c r="L279" s="16"/>
    </row>
    <row r="280" spans="11:12" x14ac:dyDescent="0.3">
      <c r="K280" s="16"/>
      <c r="L280" s="16"/>
    </row>
    <row r="281" spans="11:12" x14ac:dyDescent="0.3">
      <c r="K281" s="16"/>
      <c r="L281" s="16"/>
    </row>
    <row r="282" spans="11:12" x14ac:dyDescent="0.3">
      <c r="K282" s="16"/>
      <c r="L282" s="16"/>
    </row>
    <row r="283" spans="11:12" x14ac:dyDescent="0.3">
      <c r="K283" s="16"/>
      <c r="L283" s="16"/>
    </row>
    <row r="284" spans="11:12" x14ac:dyDescent="0.3">
      <c r="K284" s="16"/>
      <c r="L284" s="16"/>
    </row>
    <row r="285" spans="11:12" x14ac:dyDescent="0.3">
      <c r="K285" s="16"/>
      <c r="L285" s="16"/>
    </row>
    <row r="286" spans="11:12" x14ac:dyDescent="0.3">
      <c r="K286" s="16"/>
      <c r="L286" s="16"/>
    </row>
    <row r="287" spans="11:12" x14ac:dyDescent="0.3">
      <c r="K287" s="16"/>
      <c r="L287" s="16"/>
    </row>
    <row r="288" spans="11:12" x14ac:dyDescent="0.3">
      <c r="K288" s="16"/>
      <c r="L288" s="16"/>
    </row>
    <row r="289" spans="11:12" x14ac:dyDescent="0.3">
      <c r="K289" s="16"/>
      <c r="L289" s="16"/>
    </row>
    <row r="290" spans="11:12" x14ac:dyDescent="0.3">
      <c r="K290" s="16"/>
      <c r="L290" s="16"/>
    </row>
    <row r="291" spans="11:12" x14ac:dyDescent="0.3">
      <c r="K291" s="16"/>
      <c r="L291" s="16"/>
    </row>
    <row r="292" spans="11:12" x14ac:dyDescent="0.3">
      <c r="K292" s="16"/>
      <c r="L292" s="16"/>
    </row>
    <row r="293" spans="11:12" x14ac:dyDescent="0.3">
      <c r="K293" s="16"/>
      <c r="L293" s="16"/>
    </row>
    <row r="294" spans="11:12" x14ac:dyDescent="0.3">
      <c r="K294" s="16"/>
      <c r="L294" s="16"/>
    </row>
    <row r="295" spans="11:12" x14ac:dyDescent="0.3">
      <c r="K295" s="16"/>
      <c r="L295" s="16"/>
    </row>
    <row r="296" spans="11:12" x14ac:dyDescent="0.3">
      <c r="K296" s="16"/>
      <c r="L296" s="16"/>
    </row>
    <row r="297" spans="11:12" x14ac:dyDescent="0.3">
      <c r="K297" s="16"/>
      <c r="L297" s="16"/>
    </row>
    <row r="298" spans="11:12" x14ac:dyDescent="0.3">
      <c r="K298" s="16"/>
      <c r="L298" s="16"/>
    </row>
    <row r="299" spans="11:12" x14ac:dyDescent="0.3">
      <c r="K299" s="16"/>
      <c r="L299" s="16"/>
    </row>
    <row r="300" spans="11:12" x14ac:dyDescent="0.3">
      <c r="K300" s="16"/>
      <c r="L300" s="16"/>
    </row>
    <row r="301" spans="11:12" x14ac:dyDescent="0.3">
      <c r="K301" s="16"/>
      <c r="L301" s="16"/>
    </row>
    <row r="302" spans="11:12" x14ac:dyDescent="0.3">
      <c r="K302" s="16"/>
      <c r="L302" s="16"/>
    </row>
    <row r="303" spans="11:12" x14ac:dyDescent="0.3">
      <c r="K303" s="16"/>
      <c r="L303" s="16"/>
    </row>
    <row r="304" spans="11:12" x14ac:dyDescent="0.3">
      <c r="K304" s="16"/>
      <c r="L304" s="16"/>
    </row>
    <row r="305" spans="11:12" x14ac:dyDescent="0.3">
      <c r="K305" s="16"/>
      <c r="L305" s="16"/>
    </row>
    <row r="306" spans="11:12" x14ac:dyDescent="0.3">
      <c r="K306" s="16"/>
      <c r="L306" s="16"/>
    </row>
    <row r="307" spans="11:12" x14ac:dyDescent="0.3">
      <c r="K307" s="16"/>
      <c r="L307" s="16"/>
    </row>
    <row r="308" spans="11:12" x14ac:dyDescent="0.3">
      <c r="K308" s="16"/>
      <c r="L308" s="16"/>
    </row>
    <row r="309" spans="11:12" x14ac:dyDescent="0.3">
      <c r="K309" s="16"/>
      <c r="L309" s="16"/>
    </row>
    <row r="310" spans="11:12" x14ac:dyDescent="0.3">
      <c r="K310" s="16"/>
      <c r="L310" s="16"/>
    </row>
    <row r="311" spans="11:12" x14ac:dyDescent="0.3">
      <c r="K311" s="16"/>
      <c r="L311" s="16"/>
    </row>
    <row r="312" spans="11:12" x14ac:dyDescent="0.3">
      <c r="K312" s="16"/>
      <c r="L312" s="16"/>
    </row>
    <row r="313" spans="11:12" x14ac:dyDescent="0.3">
      <c r="K313" s="16"/>
      <c r="L313" s="16"/>
    </row>
    <row r="314" spans="11:12" x14ac:dyDescent="0.3">
      <c r="K314" s="16"/>
      <c r="L314" s="16"/>
    </row>
    <row r="315" spans="11:12" x14ac:dyDescent="0.3">
      <c r="K315" s="16"/>
      <c r="L315" s="16"/>
    </row>
    <row r="316" spans="11:12" x14ac:dyDescent="0.3">
      <c r="K316" s="16"/>
      <c r="L316" s="16"/>
    </row>
    <row r="317" spans="11:12" x14ac:dyDescent="0.3">
      <c r="K317" s="16"/>
      <c r="L317" s="16"/>
    </row>
    <row r="318" spans="11:12" x14ac:dyDescent="0.3">
      <c r="K318" s="16"/>
      <c r="L318" s="16"/>
    </row>
    <row r="319" spans="11:12" x14ac:dyDescent="0.3">
      <c r="K319" s="16"/>
      <c r="L319" s="16"/>
    </row>
    <row r="320" spans="11:12" x14ac:dyDescent="0.3">
      <c r="K320" s="16"/>
      <c r="L320" s="16"/>
    </row>
    <row r="321" spans="11:12" x14ac:dyDescent="0.3">
      <c r="K321" s="16"/>
      <c r="L321" s="16"/>
    </row>
    <row r="322" spans="11:12" x14ac:dyDescent="0.3">
      <c r="K322" s="16"/>
      <c r="L322" s="16"/>
    </row>
    <row r="323" spans="11:12" x14ac:dyDescent="0.3">
      <c r="K323" s="16"/>
      <c r="L323" s="16"/>
    </row>
    <row r="324" spans="11:12" x14ac:dyDescent="0.3">
      <c r="K324" s="16"/>
      <c r="L324" s="16"/>
    </row>
    <row r="325" spans="11:12" x14ac:dyDescent="0.3">
      <c r="K325" s="16"/>
      <c r="L325" s="16"/>
    </row>
    <row r="326" spans="11:12" x14ac:dyDescent="0.3">
      <c r="K326" s="16"/>
      <c r="L326" s="16"/>
    </row>
    <row r="327" spans="11:12" x14ac:dyDescent="0.3">
      <c r="K327" s="16"/>
      <c r="L327" s="16"/>
    </row>
    <row r="328" spans="11:12" x14ac:dyDescent="0.3">
      <c r="K328" s="16"/>
      <c r="L328" s="16"/>
    </row>
    <row r="329" spans="11:12" x14ac:dyDescent="0.3">
      <c r="K329" s="16"/>
      <c r="L329" s="16"/>
    </row>
    <row r="330" spans="11:12" x14ac:dyDescent="0.3">
      <c r="K330" s="16"/>
      <c r="L330" s="16"/>
    </row>
    <row r="331" spans="11:12" x14ac:dyDescent="0.3">
      <c r="K331" s="16"/>
      <c r="L331" s="16"/>
    </row>
    <row r="332" spans="11:12" x14ac:dyDescent="0.3">
      <c r="K332" s="16"/>
      <c r="L332" s="16"/>
    </row>
    <row r="333" spans="11:12" x14ac:dyDescent="0.3">
      <c r="K333" s="16"/>
      <c r="L333" s="16"/>
    </row>
    <row r="334" spans="11:12" x14ac:dyDescent="0.3">
      <c r="K334" s="16"/>
      <c r="L334" s="16"/>
    </row>
    <row r="335" spans="11:12" x14ac:dyDescent="0.3">
      <c r="K335" s="16"/>
      <c r="L335" s="16"/>
    </row>
    <row r="336" spans="11:12" x14ac:dyDescent="0.3">
      <c r="K336" s="16"/>
      <c r="L336" s="16"/>
    </row>
    <row r="337" spans="11:12" x14ac:dyDescent="0.3">
      <c r="K337" s="16"/>
      <c r="L337" s="16"/>
    </row>
    <row r="338" spans="11:12" x14ac:dyDescent="0.3">
      <c r="K338" s="16"/>
      <c r="L338" s="16"/>
    </row>
    <row r="339" spans="11:12" x14ac:dyDescent="0.3">
      <c r="K339" s="16"/>
      <c r="L339" s="16"/>
    </row>
    <row r="340" spans="11:12" x14ac:dyDescent="0.3">
      <c r="K340" s="16"/>
      <c r="L340" s="16"/>
    </row>
    <row r="341" spans="11:12" x14ac:dyDescent="0.3">
      <c r="K341" s="16"/>
      <c r="L341" s="16"/>
    </row>
    <row r="342" spans="11:12" x14ac:dyDescent="0.3">
      <c r="K342" s="16"/>
      <c r="L342" s="16"/>
    </row>
    <row r="343" spans="11:12" x14ac:dyDescent="0.3">
      <c r="K343" s="16"/>
      <c r="L343" s="16"/>
    </row>
    <row r="344" spans="11:12" x14ac:dyDescent="0.3">
      <c r="K344" s="16"/>
      <c r="L344" s="16"/>
    </row>
    <row r="345" spans="11:12" x14ac:dyDescent="0.3">
      <c r="K345" s="16"/>
      <c r="L345" s="16"/>
    </row>
    <row r="346" spans="11:12" x14ac:dyDescent="0.3">
      <c r="K346" s="16"/>
      <c r="L346" s="16"/>
    </row>
    <row r="347" spans="11:12" x14ac:dyDescent="0.3">
      <c r="K347" s="16"/>
      <c r="L347" s="16"/>
    </row>
    <row r="348" spans="11:12" x14ac:dyDescent="0.3">
      <c r="K348" s="16"/>
      <c r="L348" s="16"/>
    </row>
    <row r="349" spans="11:12" x14ac:dyDescent="0.3">
      <c r="K349" s="16"/>
      <c r="L349" s="16"/>
    </row>
    <row r="350" spans="11:12" x14ac:dyDescent="0.3">
      <c r="K350" s="16"/>
      <c r="L350" s="16"/>
    </row>
    <row r="351" spans="11:12" x14ac:dyDescent="0.3">
      <c r="K351" s="16"/>
      <c r="L351" s="16"/>
    </row>
    <row r="352" spans="11:12" x14ac:dyDescent="0.3">
      <c r="K352" s="16"/>
      <c r="L352" s="16"/>
    </row>
    <row r="353" spans="11:12" x14ac:dyDescent="0.3">
      <c r="K353" s="16"/>
      <c r="L353" s="16"/>
    </row>
  </sheetData>
  <pageMargins left="0.78749999999999998" right="0.78749999999999998" top="1.0527777777778" bottom="1.0527777777778" header="0.78749999999999998" footer="0.78749999999999998"/>
  <pageSetup orientation="portrait" horizontalDpi="300" verticalDpi="300" r:id="rId1"/>
  <headerFooter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8B838-A91B-46D1-9DB2-76E89AE8A570}">
  <sheetPr codeName="Sheet3">
    <tabColor theme="0" tint="-0.14999847407452621"/>
  </sheetPr>
  <dimension ref="A1:BA47"/>
  <sheetViews>
    <sheetView topLeftCell="A10" zoomScale="82" zoomScaleNormal="82" workbookViewId="0">
      <selection activeCell="Q1" sqref="Q1:S1"/>
    </sheetView>
  </sheetViews>
  <sheetFormatPr defaultColWidth="9.109375" defaultRowHeight="13.8" x14ac:dyDescent="0.3"/>
  <cols>
    <col min="1" max="4" width="9.109375" style="1"/>
    <col min="5" max="9" width="9.109375" style="4"/>
    <col min="10" max="12" width="9.109375" style="1"/>
    <col min="13" max="13" width="9.44140625" style="1" bestFit="1" customWidth="1"/>
    <col min="14" max="14" width="11.44140625" style="1" bestFit="1" customWidth="1"/>
    <col min="15" max="15" width="10" style="1" bestFit="1" customWidth="1"/>
    <col min="16" max="16" width="12" style="1" bestFit="1" customWidth="1"/>
    <col min="17" max="16384" width="9.109375" style="1"/>
  </cols>
  <sheetData>
    <row r="1" spans="1:53" s="8" customFormat="1" x14ac:dyDescent="0.25">
      <c r="A1" s="6" t="s">
        <v>1</v>
      </c>
      <c r="B1" s="6" t="s">
        <v>0</v>
      </c>
      <c r="C1" s="17" t="s">
        <v>45</v>
      </c>
      <c r="D1" s="17" t="s">
        <v>46</v>
      </c>
      <c r="E1" s="17" t="s">
        <v>24</v>
      </c>
      <c r="F1" s="17" t="s">
        <v>34</v>
      </c>
      <c r="G1" s="17" t="s">
        <v>35</v>
      </c>
      <c r="H1" s="17" t="s">
        <v>36</v>
      </c>
      <c r="I1" s="17" t="s">
        <v>37</v>
      </c>
      <c r="J1" s="17" t="s">
        <v>38</v>
      </c>
      <c r="K1" s="17" t="s">
        <v>39</v>
      </c>
      <c r="L1" s="17" t="s">
        <v>40</v>
      </c>
      <c r="M1" s="17" t="s">
        <v>41</v>
      </c>
      <c r="N1" s="17" t="s">
        <v>42</v>
      </c>
      <c r="O1" s="17" t="s">
        <v>43</v>
      </c>
      <c r="P1" s="17" t="s">
        <v>44</v>
      </c>
      <c r="Q1" s="17" t="s">
        <v>51</v>
      </c>
      <c r="R1" s="17" t="s">
        <v>52</v>
      </c>
      <c r="S1" s="17" t="s">
        <v>53</v>
      </c>
      <c r="AF1" s="10"/>
      <c r="AG1" s="10"/>
      <c r="AH1" s="10"/>
      <c r="AI1" s="10"/>
      <c r="AJ1" s="7"/>
    </row>
    <row r="2" spans="1:53" s="8" customFormat="1" x14ac:dyDescent="0.3">
      <c r="A2" s="18"/>
      <c r="B2" s="18"/>
      <c r="H2" s="13"/>
      <c r="K2" s="13"/>
      <c r="L2" s="13"/>
      <c r="O2" s="14"/>
      <c r="AF2" s="7"/>
      <c r="AG2" s="7"/>
      <c r="AH2" s="7"/>
      <c r="AI2" s="7"/>
      <c r="AJ2" s="7"/>
    </row>
    <row r="3" spans="1:53" s="8" customFormat="1" x14ac:dyDescent="0.3">
      <c r="A3" s="18"/>
      <c r="B3" s="18"/>
      <c r="H3" s="13"/>
      <c r="K3" s="13"/>
      <c r="L3" s="13"/>
      <c r="O3" s="14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</row>
    <row r="4" spans="1:53" s="8" customFormat="1" x14ac:dyDescent="0.3">
      <c r="A4" s="18"/>
      <c r="B4" s="18"/>
      <c r="H4" s="13"/>
      <c r="K4" s="13"/>
      <c r="L4" s="13"/>
      <c r="O4" s="14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</row>
    <row r="5" spans="1:53" s="8" customFormat="1" x14ac:dyDescent="0.25">
      <c r="A5" s="7"/>
      <c r="B5" s="7"/>
      <c r="C5" s="7"/>
      <c r="D5" s="7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7"/>
      <c r="AZ5" s="7"/>
      <c r="BA5" s="7"/>
    </row>
    <row r="6" spans="1:53" s="8" customFormat="1" x14ac:dyDescent="0.25">
      <c r="C6" s="7"/>
      <c r="D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</row>
    <row r="7" spans="1:53" s="8" customFormat="1" x14ac:dyDescent="0.25">
      <c r="C7" s="7"/>
      <c r="D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</row>
    <row r="8" spans="1:53" s="8" customFormat="1" x14ac:dyDescent="0.25">
      <c r="C8" s="7"/>
      <c r="D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</row>
    <row r="9" spans="1:53" s="8" customFormat="1" x14ac:dyDescent="0.25">
      <c r="C9" s="10"/>
      <c r="D9" s="7"/>
      <c r="E9" s="7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10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</row>
    <row r="10" spans="1:53" s="8" customFormat="1" x14ac:dyDescent="0.25">
      <c r="C10" s="7"/>
      <c r="D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</row>
    <row r="11" spans="1:53" s="8" customFormat="1" x14ac:dyDescent="0.25">
      <c r="C11" s="7"/>
      <c r="D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</row>
    <row r="12" spans="1:53" s="8" customFormat="1" x14ac:dyDescent="0.25">
      <c r="C12" s="7"/>
      <c r="D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</row>
    <row r="13" spans="1:53" s="8" customFormat="1" x14ac:dyDescent="0.25">
      <c r="C13" s="7"/>
      <c r="D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</row>
    <row r="14" spans="1:53" s="8" customFormat="1" x14ac:dyDescent="0.25">
      <c r="C14" s="7"/>
      <c r="D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</row>
    <row r="15" spans="1:53" s="8" customFormat="1" x14ac:dyDescent="0.25">
      <c r="C15" s="7"/>
      <c r="D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</row>
    <row r="16" spans="1:53" s="8" customFormat="1" x14ac:dyDescent="0.25">
      <c r="C16" s="7"/>
      <c r="D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</row>
    <row r="17" spans="3:53" s="8" customFormat="1" x14ac:dyDescent="0.25">
      <c r="C17" s="7"/>
      <c r="D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</row>
    <row r="18" spans="3:53" s="8" customFormat="1" x14ac:dyDescent="0.25">
      <c r="C18" s="7"/>
      <c r="D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</row>
    <row r="19" spans="3:53" s="8" customFormat="1" x14ac:dyDescent="0.25"/>
    <row r="20" spans="3:53" s="8" customFormat="1" x14ac:dyDescent="0.25"/>
    <row r="21" spans="3:53" s="8" customFormat="1" x14ac:dyDescent="0.25"/>
    <row r="22" spans="3:53" s="8" customFormat="1" x14ac:dyDescent="0.25"/>
    <row r="23" spans="3:53" s="8" customFormat="1" x14ac:dyDescent="0.25"/>
    <row r="24" spans="3:53" s="8" customFormat="1" x14ac:dyDescent="0.25"/>
    <row r="25" spans="3:53" s="8" customFormat="1" x14ac:dyDescent="0.25"/>
    <row r="26" spans="3:53" s="8" customFormat="1" x14ac:dyDescent="0.25"/>
    <row r="27" spans="3:53" s="8" customFormat="1" x14ac:dyDescent="0.25"/>
    <row r="28" spans="3:53" s="8" customFormat="1" x14ac:dyDescent="0.25"/>
    <row r="29" spans="3:53" s="8" customFormat="1" x14ac:dyDescent="0.25"/>
    <row r="30" spans="3:53" s="8" customFormat="1" x14ac:dyDescent="0.25"/>
    <row r="31" spans="3:53" s="8" customFormat="1" x14ac:dyDescent="0.25"/>
    <row r="32" spans="3:53" s="8" customFormat="1" x14ac:dyDescent="0.25"/>
    <row r="33" s="8" customFormat="1" x14ac:dyDescent="0.25"/>
    <row r="34" s="8" customFormat="1" x14ac:dyDescent="0.25"/>
    <row r="35" s="8" customFormat="1" x14ac:dyDescent="0.25"/>
    <row r="36" s="8" customFormat="1" x14ac:dyDescent="0.25"/>
    <row r="37" s="8" customFormat="1" x14ac:dyDescent="0.25"/>
    <row r="38" s="8" customFormat="1" x14ac:dyDescent="0.25"/>
    <row r="39" s="8" customFormat="1" x14ac:dyDescent="0.25"/>
    <row r="40" s="8" customFormat="1" x14ac:dyDescent="0.25"/>
    <row r="41" s="8" customFormat="1" x14ac:dyDescent="0.25"/>
    <row r="42" s="8" customFormat="1" x14ac:dyDescent="0.25"/>
    <row r="43" s="8" customFormat="1" x14ac:dyDescent="0.25"/>
    <row r="44" s="8" customFormat="1" x14ac:dyDescent="0.25"/>
    <row r="45" s="8" customFormat="1" x14ac:dyDescent="0.25"/>
    <row r="46" s="8" customFormat="1" x14ac:dyDescent="0.25"/>
    <row r="47" s="8" customFormat="1" x14ac:dyDescent="0.25"/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24F96-793C-4B16-B186-95750A0D0A50}">
  <sheetPr codeName="Sheet4">
    <tabColor theme="0" tint="-0.14999847407452621"/>
  </sheetPr>
  <dimension ref="A1:AE1"/>
  <sheetViews>
    <sheetView zoomScale="69" zoomScaleNormal="69" workbookViewId="0">
      <selection activeCell="I39" sqref="I39"/>
    </sheetView>
  </sheetViews>
  <sheetFormatPr defaultRowHeight="13.2" x14ac:dyDescent="0.25"/>
  <sheetData>
    <row r="1" spans="1:31" ht="13.8" x14ac:dyDescent="0.3">
      <c r="A1" s="12" t="s">
        <v>1</v>
      </c>
      <c r="B1" s="2" t="s">
        <v>2</v>
      </c>
      <c r="C1" s="2" t="s">
        <v>30</v>
      </c>
      <c r="D1" s="2" t="s">
        <v>29</v>
      </c>
      <c r="E1" s="2" t="s">
        <v>28</v>
      </c>
      <c r="F1" s="2" t="s">
        <v>27</v>
      </c>
      <c r="G1" s="2" t="s">
        <v>26</v>
      </c>
      <c r="H1" s="2" t="s">
        <v>25</v>
      </c>
      <c r="I1" s="2" t="s">
        <v>24</v>
      </c>
      <c r="J1" s="2" t="s">
        <v>23</v>
      </c>
      <c r="K1" s="2" t="s">
        <v>22</v>
      </c>
      <c r="L1" s="2" t="s">
        <v>21</v>
      </c>
      <c r="M1" s="2" t="s">
        <v>20</v>
      </c>
      <c r="N1" s="2" t="s">
        <v>19</v>
      </c>
      <c r="O1" s="2" t="s">
        <v>3</v>
      </c>
      <c r="P1" s="2" t="s">
        <v>4</v>
      </c>
      <c r="Q1" s="2" t="s">
        <v>5</v>
      </c>
      <c r="R1" s="2" t="s">
        <v>6</v>
      </c>
      <c r="S1" s="2" t="s">
        <v>18</v>
      </c>
      <c r="T1" s="2" t="s">
        <v>17</v>
      </c>
      <c r="U1" s="2" t="s">
        <v>16</v>
      </c>
      <c r="V1" s="2" t="s">
        <v>15</v>
      </c>
      <c r="W1" s="2" t="s">
        <v>33</v>
      </c>
      <c r="X1" s="2" t="s">
        <v>32</v>
      </c>
      <c r="Y1" s="2" t="s">
        <v>12</v>
      </c>
      <c r="Z1" s="2" t="s">
        <v>11</v>
      </c>
      <c r="AA1" s="2" t="s">
        <v>10</v>
      </c>
      <c r="AB1" s="2" t="s">
        <v>31</v>
      </c>
      <c r="AC1" s="2" t="s">
        <v>9</v>
      </c>
      <c r="AD1" s="2" t="s">
        <v>7</v>
      </c>
      <c r="AE1" s="2" t="s">
        <v>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FCD8C-4AE3-4E37-9388-A79339E052B0}">
  <sheetPr codeName="Sheet5"/>
  <dimension ref="A1:AD1"/>
  <sheetViews>
    <sheetView zoomScale="66" zoomScaleNormal="66" workbookViewId="0">
      <selection activeCell="H10" sqref="H10"/>
    </sheetView>
  </sheetViews>
  <sheetFormatPr defaultRowHeight="13.2" x14ac:dyDescent="0.25"/>
  <sheetData>
    <row r="1" spans="1:30" ht="13.8" x14ac:dyDescent="0.3">
      <c r="A1" s="12" t="s">
        <v>1</v>
      </c>
      <c r="B1" s="2" t="s">
        <v>2</v>
      </c>
      <c r="C1" s="2" t="s">
        <v>30</v>
      </c>
      <c r="D1" s="2" t="s">
        <v>29</v>
      </c>
      <c r="E1" s="2" t="s">
        <v>28</v>
      </c>
      <c r="F1" s="2" t="s">
        <v>27</v>
      </c>
      <c r="G1" s="2" t="s">
        <v>26</v>
      </c>
      <c r="H1" s="2" t="s">
        <v>25</v>
      </c>
      <c r="I1" s="2" t="s">
        <v>24</v>
      </c>
      <c r="J1" s="2" t="s">
        <v>23</v>
      </c>
      <c r="K1" s="2" t="s">
        <v>22</v>
      </c>
      <c r="L1" s="2" t="s">
        <v>21</v>
      </c>
      <c r="M1" s="2" t="s">
        <v>20</v>
      </c>
      <c r="N1" s="2" t="s">
        <v>19</v>
      </c>
      <c r="O1" s="2" t="s">
        <v>3</v>
      </c>
      <c r="P1" s="2" t="s">
        <v>4</v>
      </c>
      <c r="Q1" s="2" t="s">
        <v>5</v>
      </c>
      <c r="R1" s="2" t="s">
        <v>6</v>
      </c>
      <c r="S1" s="2" t="s">
        <v>18</v>
      </c>
      <c r="T1" s="2" t="s">
        <v>17</v>
      </c>
      <c r="U1" s="2" t="s">
        <v>16</v>
      </c>
      <c r="V1" s="2" t="s">
        <v>15</v>
      </c>
      <c r="W1" s="2" t="s">
        <v>14</v>
      </c>
      <c r="X1" s="2" t="s">
        <v>13</v>
      </c>
      <c r="Y1" s="11" t="s">
        <v>12</v>
      </c>
      <c r="Z1" s="11" t="s">
        <v>11</v>
      </c>
      <c r="AA1" s="2" t="s">
        <v>10</v>
      </c>
      <c r="AB1" s="2" t="s">
        <v>9</v>
      </c>
      <c r="AC1" s="2" t="s">
        <v>7</v>
      </c>
      <c r="AD1" s="2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537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STATCOM</vt:lpstr>
      <vt:lpstr>GFOL</vt:lpstr>
      <vt:lpstr>GFOR</vt:lpstr>
      <vt:lpstr>MMC-Pac-GFll</vt:lpstr>
      <vt:lpstr>MMC-Vdc-GFll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dion mout</dc:creator>
  <dc:description/>
  <cp:lastModifiedBy>Josep</cp:lastModifiedBy>
  <cp:revision>31</cp:revision>
  <dcterms:created xsi:type="dcterms:W3CDTF">2022-02-25T19:10:54Z</dcterms:created>
  <dcterms:modified xsi:type="dcterms:W3CDTF">2024-09-17T11:16:41Z</dcterms:modified>
  <dc:language>en-US</dc:language>
</cp:coreProperties>
</file>