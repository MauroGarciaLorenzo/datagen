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esca\miniconda3\envs\hp2c-dt\datagen\hypersim9buses\"/>
    </mc:Choice>
  </mc:AlternateContent>
  <xr:revisionPtr revIDLastSave="0" documentId="13_ncr:1_{6B844B19-ECDC-4FE1-B423-EEE5B8FCCF07}" xr6:coauthVersionLast="47" xr6:coauthVersionMax="47" xr10:uidLastSave="{00000000-0000-0000-0000-000000000000}"/>
  <bookViews>
    <workbookView xWindow="-108" yWindow="-108" windowWidth="23256" windowHeight="12456" xr2:uid="{1208F1AD-02D5-4AAB-BFFC-88F9F8DC21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" i="1" l="1"/>
  <c r="M2" i="1" s="1"/>
  <c r="Q2" i="1" s="1"/>
  <c r="L2" i="1"/>
  <c r="O2" i="1"/>
  <c r="P2" i="1"/>
  <c r="K3" i="1"/>
  <c r="M3" i="1" s="1"/>
  <c r="Q3" i="1" s="1"/>
  <c r="L3" i="1"/>
  <c r="O3" i="1"/>
  <c r="P3" i="1"/>
  <c r="K4" i="1"/>
  <c r="M4" i="1" s="1"/>
  <c r="Q4" i="1" s="1"/>
  <c r="L4" i="1"/>
  <c r="O4" i="1"/>
  <c r="P4" i="1"/>
  <c r="K5" i="1"/>
  <c r="M5" i="1" s="1"/>
  <c r="Q5" i="1" s="1"/>
  <c r="L5" i="1"/>
  <c r="O5" i="1"/>
  <c r="P5" i="1"/>
  <c r="K6" i="1"/>
  <c r="M6" i="1" s="1"/>
  <c r="Q6" i="1" s="1"/>
  <c r="L6" i="1"/>
  <c r="O6" i="1"/>
  <c r="P6" i="1"/>
  <c r="K7" i="1"/>
  <c r="M7" i="1" s="1"/>
  <c r="Q7" i="1" s="1"/>
  <c r="L7" i="1"/>
  <c r="O7" i="1"/>
  <c r="P7" i="1"/>
  <c r="N7" i="1" l="1"/>
  <c r="R7" i="1" s="1"/>
  <c r="N6" i="1"/>
  <c r="R6" i="1" s="1"/>
  <c r="N5" i="1"/>
  <c r="R5" i="1" s="1"/>
  <c r="N4" i="1"/>
  <c r="R4" i="1" s="1"/>
  <c r="N3" i="1"/>
  <c r="R3" i="1" s="1"/>
  <c r="N2" i="1"/>
  <c r="R2" i="1" s="1"/>
</calcChain>
</file>

<file path=xl/sharedStrings.xml><?xml version="1.0" encoding="utf-8"?>
<sst xmlns="http://schemas.openxmlformats.org/spreadsheetml/2006/main" count="18" uniqueCount="18">
  <si>
    <t>element</t>
  </si>
  <si>
    <t>bus_from</t>
  </si>
  <si>
    <t>bus_to</t>
  </si>
  <si>
    <t>Length Km</t>
  </si>
  <si>
    <t>R0 ohm/km</t>
  </si>
  <si>
    <t>R1 ohm/km</t>
  </si>
  <si>
    <t>L0 H/Km</t>
  </si>
  <si>
    <t>L1 H/km</t>
  </si>
  <si>
    <t>C0 F/km</t>
  </si>
  <si>
    <t>C1 F/km</t>
  </si>
  <si>
    <t>R ohm</t>
  </si>
  <si>
    <t>X ohm</t>
  </si>
  <si>
    <t>w</t>
  </si>
  <si>
    <t>B</t>
  </si>
  <si>
    <t>Rpu</t>
  </si>
  <si>
    <t>Xpu</t>
  </si>
  <si>
    <t>Bpu</t>
  </si>
  <si>
    <t>Zbase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</si>
</sst>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0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278F9-B962-4846-BB6C-F3FA565299BD}">
  <dimension ref="A1:R14"/>
  <sheetViews>
    <sheetView tabSelected="1" workbookViewId="0">
      <selection activeCell="C14" sqref="C14"/>
    </sheetView>
  </sheetViews>
  <sheetFormatPr defaultColWidth="11.5546875" defaultRowHeight="14.4" x14ac:dyDescent="0.3"/>
  <cols>
    <col min="11" max="11" width="11.5546875" style="1"/>
    <col min="15" max="15" width="11.5546875" style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10</v>
      </c>
      <c r="M1" t="s">
        <v>11</v>
      </c>
      <c r="N1" t="s">
        <v>13</v>
      </c>
      <c r="O1" s="1" t="s">
        <v>17</v>
      </c>
      <c r="P1" t="s">
        <v>14</v>
      </c>
      <c r="Q1" t="s">
        <v>15</v>
      </c>
      <c r="R1" t="s">
        <v>16</v>
      </c>
    </row>
    <row r="2" spans="1:18" x14ac:dyDescent="0.3">
      <c r="A2">
        <v>1</v>
      </c>
      <c r="B2">
        <v>4</v>
      </c>
      <c r="C2">
        <v>5</v>
      </c>
      <c r="D2" s="3">
        <v>89.93</v>
      </c>
      <c r="E2" s="1">
        <v>0.58823529411800002</v>
      </c>
      <c r="F2" s="1">
        <v>5.8823529411800003E-2</v>
      </c>
      <c r="G2" s="1">
        <v>3.9788735773000003E-3</v>
      </c>
      <c r="H2" s="1">
        <v>1.3262911924299999E-3</v>
      </c>
      <c r="I2" s="2">
        <v>5.8880641641999996E-9</v>
      </c>
      <c r="J2" s="2">
        <v>9.8134402736700003E-9</v>
      </c>
      <c r="K2" s="2">
        <f>2*PI()*60</f>
        <v>376.99111843077515</v>
      </c>
      <c r="L2" s="4">
        <f>F2*D2</f>
        <v>5.2900000000031744</v>
      </c>
      <c r="M2" s="2">
        <f>H2*D2*K2</f>
        <v>44.964999999916557</v>
      </c>
      <c r="N2" s="2">
        <f>J2*D2*K2</f>
        <v>3.3270321361049225E-4</v>
      </c>
      <c r="O2" s="2">
        <f>230000^2/100000000</f>
        <v>529</v>
      </c>
      <c r="P2" s="2">
        <f>L2/O2</f>
        <v>1.0000000000006001E-2</v>
      </c>
      <c r="Q2" s="2">
        <f>M2/O2</f>
        <v>8.4999999999842257E-2</v>
      </c>
      <c r="R2" s="2">
        <f>N2*O2</f>
        <v>0.17599999999995039</v>
      </c>
    </row>
    <row r="3" spans="1:18" x14ac:dyDescent="0.3">
      <c r="A3">
        <v>2</v>
      </c>
      <c r="B3">
        <v>4</v>
      </c>
      <c r="C3">
        <v>6</v>
      </c>
      <c r="D3" s="1">
        <v>97.335999999999999</v>
      </c>
      <c r="E3" s="1">
        <v>0.92391304347799996</v>
      </c>
      <c r="F3" s="1">
        <v>9.2391304347800005E-2</v>
      </c>
      <c r="G3" s="1">
        <v>3.9788735773000003E-3</v>
      </c>
      <c r="H3" s="1">
        <v>1.3262911924299999E-3</v>
      </c>
      <c r="I3" s="2">
        <v>4.8836895828299998E-9</v>
      </c>
      <c r="J3" s="2">
        <v>8.1394826380600004E-9</v>
      </c>
      <c r="K3" s="2">
        <f t="shared" ref="K3:K7" si="0">2*PI()*60</f>
        <v>376.99111843077515</v>
      </c>
      <c r="L3" s="4">
        <f t="shared" ref="L3:L7" si="1">F3*D3</f>
        <v>8.9929999999974619</v>
      </c>
      <c r="M3" s="2">
        <f t="shared" ref="M3:M7" si="2">H3*D3*K3</f>
        <v>48.667999999909682</v>
      </c>
      <c r="N3" s="2">
        <f t="shared" ref="N3:N7" si="3">J3*D3*K3</f>
        <v>2.9867674858232639E-4</v>
      </c>
      <c r="O3" s="2">
        <f t="shared" ref="O3:O7" si="4">230000^2/100000000</f>
        <v>529</v>
      </c>
      <c r="P3" s="2">
        <f t="shared" ref="P3:P7" si="5">L3/O3</f>
        <v>1.6999999999995203E-2</v>
      </c>
      <c r="Q3" s="2">
        <f t="shared" ref="Q3:Q7" si="6">M3/O3</f>
        <v>9.199999999982926E-2</v>
      </c>
      <c r="R3" s="2">
        <f t="shared" ref="R3:R7" si="7">N3*O3</f>
        <v>0.15800000000005066</v>
      </c>
    </row>
    <row r="4" spans="1:18" x14ac:dyDescent="0.3">
      <c r="A4">
        <v>3</v>
      </c>
      <c r="B4">
        <v>5</v>
      </c>
      <c r="C4">
        <v>7</v>
      </c>
      <c r="D4" s="1">
        <v>170.33799999999999</v>
      </c>
      <c r="E4" s="1">
        <v>0.99378881987599998</v>
      </c>
      <c r="F4" s="1">
        <v>9.9378881987600004E-2</v>
      </c>
      <c r="G4" s="1">
        <v>3.9788735773000003E-3</v>
      </c>
      <c r="H4" s="1">
        <v>1.3262911924299999E-3</v>
      </c>
      <c r="I4" s="2">
        <v>4.8836895828299998E-9</v>
      </c>
      <c r="J4" s="2">
        <v>8.1394826380600004E-9</v>
      </c>
      <c r="K4" s="2">
        <f t="shared" si="0"/>
        <v>376.99111843077515</v>
      </c>
      <c r="L4" s="4">
        <f t="shared" si="1"/>
        <v>16.928000000003809</v>
      </c>
      <c r="M4" s="2">
        <f t="shared" si="2"/>
        <v>85.168999999841944</v>
      </c>
      <c r="N4" s="2">
        <f t="shared" si="3"/>
        <v>5.2268431001907111E-4</v>
      </c>
      <c r="O4" s="2">
        <f t="shared" si="4"/>
        <v>529</v>
      </c>
      <c r="P4" s="2">
        <f t="shared" si="5"/>
        <v>3.2000000000007203E-2</v>
      </c>
      <c r="Q4" s="2">
        <f t="shared" si="6"/>
        <v>0.16099999999970122</v>
      </c>
      <c r="R4" s="2">
        <f t="shared" si="7"/>
        <v>0.27650000000008862</v>
      </c>
    </row>
    <row r="5" spans="1:18" x14ac:dyDescent="0.3">
      <c r="A5">
        <v>4</v>
      </c>
      <c r="B5">
        <v>6</v>
      </c>
      <c r="C5">
        <v>9</v>
      </c>
      <c r="D5" s="1">
        <v>179.86</v>
      </c>
      <c r="E5" s="1">
        <v>1.1470588235300001</v>
      </c>
      <c r="F5" s="1">
        <v>0.114705882353</v>
      </c>
      <c r="G5" s="1">
        <v>3.9788735773000003E-3</v>
      </c>
      <c r="H5" s="1">
        <v>1.3262911924299999E-3</v>
      </c>
      <c r="I5" s="2">
        <v>5.9884288942800004E-9</v>
      </c>
      <c r="J5" s="2">
        <v>9.9807148237899893E-9</v>
      </c>
      <c r="K5" s="2">
        <f t="shared" si="0"/>
        <v>376.99111843077515</v>
      </c>
      <c r="L5" s="4">
        <f t="shared" si="1"/>
        <v>20.63100000001058</v>
      </c>
      <c r="M5" s="2">
        <f t="shared" si="2"/>
        <v>89.929999999833115</v>
      </c>
      <c r="N5" s="2">
        <f t="shared" si="3"/>
        <v>6.7674858223047457E-4</v>
      </c>
      <c r="O5" s="2">
        <f t="shared" si="4"/>
        <v>529</v>
      </c>
      <c r="P5" s="2">
        <f t="shared" si="5"/>
        <v>3.9000000000019998E-2</v>
      </c>
      <c r="Q5" s="2">
        <f t="shared" si="6"/>
        <v>0.16999999999968451</v>
      </c>
      <c r="R5" s="2">
        <f t="shared" si="7"/>
        <v>0.35799999999992105</v>
      </c>
    </row>
    <row r="6" spans="1:18" x14ac:dyDescent="0.3">
      <c r="A6">
        <v>5</v>
      </c>
      <c r="B6">
        <v>7</v>
      </c>
      <c r="C6">
        <v>8</v>
      </c>
      <c r="D6" s="1">
        <v>76.176000000000002</v>
      </c>
      <c r="E6" s="1">
        <v>0.59027777777799895</v>
      </c>
      <c r="F6" s="1">
        <v>5.9027777777800002E-2</v>
      </c>
      <c r="G6" s="1">
        <v>3.9788735773000003E-3</v>
      </c>
      <c r="H6" s="1">
        <v>1.3262911924299999E-3</v>
      </c>
      <c r="I6" s="2">
        <v>5.8848116035100001E-9</v>
      </c>
      <c r="J6" s="2">
        <v>9.8080193391800007E-9</v>
      </c>
      <c r="K6" s="2">
        <f t="shared" si="0"/>
        <v>376.99111843077515</v>
      </c>
      <c r="L6" s="4">
        <f t="shared" si="1"/>
        <v>4.496500000001693</v>
      </c>
      <c r="M6" s="2">
        <f t="shared" si="2"/>
        <v>38.087999999929316</v>
      </c>
      <c r="N6" s="2">
        <f t="shared" si="3"/>
        <v>2.8166351606810587E-4</v>
      </c>
      <c r="O6" s="2">
        <f t="shared" si="4"/>
        <v>529</v>
      </c>
      <c r="P6" s="2">
        <f t="shared" si="5"/>
        <v>8.5000000000032012E-3</v>
      </c>
      <c r="Q6" s="2">
        <f t="shared" si="6"/>
        <v>7.1999999999866379E-2</v>
      </c>
      <c r="R6" s="2">
        <f t="shared" si="7"/>
        <v>0.149000000000028</v>
      </c>
    </row>
    <row r="7" spans="1:18" x14ac:dyDescent="0.3">
      <c r="A7">
        <v>6</v>
      </c>
      <c r="B7">
        <v>8</v>
      </c>
      <c r="C7">
        <v>9</v>
      </c>
      <c r="D7" s="1">
        <v>106.6464</v>
      </c>
      <c r="E7" s="1">
        <v>0.59027777777799895</v>
      </c>
      <c r="F7" s="1">
        <v>5.9027777777800002E-2</v>
      </c>
      <c r="G7" s="1">
        <v>3.9788735773000003E-3</v>
      </c>
      <c r="H7" s="1">
        <v>1.3262911924299999E-3</v>
      </c>
      <c r="I7" s="2">
        <v>5.8960959977600002E-9</v>
      </c>
      <c r="J7" s="2">
        <v>9.8268266629300004E-9</v>
      </c>
      <c r="K7" s="2">
        <f t="shared" si="0"/>
        <v>376.99111843077515</v>
      </c>
      <c r="L7" s="4">
        <f t="shared" si="1"/>
        <v>6.2951000000023702</v>
      </c>
      <c r="M7" s="2">
        <f t="shared" si="2"/>
        <v>53.323199999901036</v>
      </c>
      <c r="N7" s="2">
        <f t="shared" si="3"/>
        <v>3.9508506616237104E-4</v>
      </c>
      <c r="O7" s="2">
        <f t="shared" si="4"/>
        <v>529</v>
      </c>
      <c r="P7" s="2">
        <f t="shared" si="5"/>
        <v>1.190000000000448E-2</v>
      </c>
      <c r="Q7" s="2">
        <f t="shared" si="6"/>
        <v>0.10079999999981293</v>
      </c>
      <c r="R7" s="2">
        <f t="shared" si="7"/>
        <v>0.20899999999989427</v>
      </c>
    </row>
    <row r="8" spans="1:18" x14ac:dyDescent="0">
      <c r="E8" s="2"/>
      <c r="F8" s="2"/>
      <c r="G8" s="2"/>
      <c r="H8" s="2"/>
      <c r="I8" s="2"/>
      <c r="J8" s="2"/>
      <c r="K8" s="2"/>
      <c r="L8" s="4"/>
      <c r="M8" s="2"/>
      <c r="N8" s="2"/>
      <c r="O8" s="2"/>
      <c r="P8" s="2"/>
      <c r="Q8" s="2"/>
      <c r="R8" s="2"/>
    </row>
    <row r="12" spans="1:18" x14ac:dyDescent="0.3">
      <c r="P12" s="5"/>
    </row>
    <row r="14" spans="1:18" x14ac:dyDescent="0.3">
      <c r="J1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Hypersim</dc:creator>
  <cp:lastModifiedBy>Francesca</cp:lastModifiedBy>
  <dcterms:created xsi:type="dcterms:W3CDTF">2025-02-14T12:08:18Z</dcterms:created>
  <dcterms:modified xsi:type="dcterms:W3CDTF">2025-09-09T13:48:20Z</dcterms:modified>
</cp:coreProperties>
</file>