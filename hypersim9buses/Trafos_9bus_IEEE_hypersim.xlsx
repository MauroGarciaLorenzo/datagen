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cesca\miniconda3\envs\gridcal_original2\datagen\hypersim9buses\"/>
    </mc:Choice>
  </mc:AlternateContent>
  <xr:revisionPtr revIDLastSave="0" documentId="13_ncr:1_{312F2D8E-B9C5-4790-8B4D-C0ED3BCD2DCD}" xr6:coauthVersionLast="36" xr6:coauthVersionMax="47" xr10:uidLastSave="{00000000-0000-0000-0000-000000000000}"/>
  <bookViews>
    <workbookView xWindow="0" yWindow="0" windowWidth="19008" windowHeight="9060" xr2:uid="{26299876-FFE2-4966-8090-A4840FFA9FD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4" i="1" l="1"/>
  <c r="U4" i="1"/>
  <c r="T2" i="1" l="1"/>
  <c r="Q2" i="1"/>
  <c r="U3" i="1"/>
  <c r="V3" i="1"/>
  <c r="V2" i="1"/>
  <c r="U2" i="1"/>
  <c r="T3" i="1"/>
  <c r="S2" i="1"/>
  <c r="S3" i="1"/>
  <c r="S4" i="1"/>
  <c r="R3" i="1"/>
  <c r="R4" i="1"/>
  <c r="R2" i="1"/>
  <c r="Q3" i="1"/>
  <c r="Q4" i="1"/>
  <c r="P3" i="1"/>
  <c r="P2" i="1"/>
  <c r="O3" i="1"/>
  <c r="O4" i="1"/>
  <c r="O2" i="1"/>
  <c r="N3" i="1"/>
  <c r="N4" i="1"/>
  <c r="T4" i="1" s="1"/>
  <c r="N2" i="1"/>
  <c r="M3" i="1"/>
  <c r="M2" i="1"/>
  <c r="L3" i="1"/>
  <c r="L4" i="1"/>
  <c r="L2" i="1"/>
  <c r="J3" i="1"/>
  <c r="J2" i="1"/>
  <c r="P4" i="1" l="1"/>
  <c r="V4" i="1" s="1"/>
</calcChain>
</file>

<file path=xl/sharedStrings.xml><?xml version="1.0" encoding="utf-8"?>
<sst xmlns="http://schemas.openxmlformats.org/spreadsheetml/2006/main" count="22" uniqueCount="22">
  <si>
    <t>trafo</t>
  </si>
  <si>
    <t>Vp</t>
  </si>
  <si>
    <t>Rp</t>
  </si>
  <si>
    <t>Lp</t>
  </si>
  <si>
    <t>Vs</t>
  </si>
  <si>
    <t>Rs</t>
  </si>
  <si>
    <t>Ls</t>
  </si>
  <si>
    <t xml:space="preserve">Rm </t>
  </si>
  <si>
    <t>Lm</t>
  </si>
  <si>
    <t>Zbase_p</t>
  </si>
  <si>
    <t>Lbase_p</t>
  </si>
  <si>
    <t>w</t>
  </si>
  <si>
    <t>Zbase_s</t>
  </si>
  <si>
    <t>Lbase_s</t>
  </si>
  <si>
    <t>Rp_pu</t>
  </si>
  <si>
    <t>Lp_pu</t>
  </si>
  <si>
    <t>Rs_pu</t>
  </si>
  <si>
    <t>Ls_pu</t>
  </si>
  <si>
    <t>Rm_pu</t>
  </si>
  <si>
    <t>Lm_pu</t>
  </si>
  <si>
    <t>bus_from</t>
  </si>
  <si>
    <t>bus_to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</si>
</sst>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15762-242D-4140-B913-B1A821B4EA3B}">
  <dimension ref="A1:V9"/>
  <sheetViews>
    <sheetView tabSelected="1" workbookViewId="0">
      <selection activeCell="C15" sqref="C15"/>
    </sheetView>
  </sheetViews>
  <sheetFormatPr defaultColWidth="11.5546875" defaultRowHeight="14.4" x14ac:dyDescent="0.3"/>
  <sheetData>
    <row r="1" spans="1:22" x14ac:dyDescent="0.3">
      <c r="A1" t="s">
        <v>0</v>
      </c>
      <c r="B1" t="s">
        <v>20</v>
      </c>
      <c r="C1" t="s">
        <v>21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11</v>
      </c>
      <c r="M1" t="s">
        <v>9</v>
      </c>
      <c r="N1" t="s">
        <v>10</v>
      </c>
      <c r="O1" t="s">
        <v>12</v>
      </c>
      <c r="P1" t="s">
        <v>13</v>
      </c>
      <c r="Q1" s="3" t="s">
        <v>14</v>
      </c>
      <c r="R1" t="s">
        <v>15</v>
      </c>
      <c r="S1" t="s">
        <v>18</v>
      </c>
      <c r="T1" t="s">
        <v>19</v>
      </c>
      <c r="U1" t="s">
        <v>16</v>
      </c>
      <c r="V1" t="s">
        <v>17</v>
      </c>
    </row>
    <row r="2" spans="1:22" x14ac:dyDescent="0.3">
      <c r="A2">
        <v>1</v>
      </c>
      <c r="B2">
        <v>1</v>
      </c>
      <c r="C2">
        <v>4</v>
      </c>
      <c r="D2">
        <v>24000</v>
      </c>
      <c r="E2" s="1">
        <v>5.7599999999999998E-10</v>
      </c>
      <c r="F2">
        <v>4.4003117633200002E-4</v>
      </c>
      <c r="G2">
        <v>230000</v>
      </c>
      <c r="H2" s="1">
        <v>5.2899999999999997E-8</v>
      </c>
      <c r="I2">
        <v>4.0412623149899997E-2</v>
      </c>
      <c r="J2">
        <f>0.0136125*1000000</f>
        <v>13612.5</v>
      </c>
      <c r="K2">
        <v>36.108277714000003</v>
      </c>
      <c r="L2">
        <f>2*PI()*60</f>
        <v>376.99111843077515</v>
      </c>
      <c r="M2">
        <f>D2^2/100000000</f>
        <v>5.76</v>
      </c>
      <c r="N2">
        <f>M2/L2</f>
        <v>1.5278874536821953E-2</v>
      </c>
      <c r="O2">
        <f>G2^2/100000000</f>
        <v>529</v>
      </c>
      <c r="P2">
        <f>O2/L2</f>
        <v>1.4032160815935439</v>
      </c>
      <c r="Q2" s="1">
        <f>E2/M2</f>
        <v>1E-10</v>
      </c>
      <c r="R2">
        <f>F2/N2</f>
        <v>2.8799973144064295E-2</v>
      </c>
      <c r="S2">
        <f>J2/M2</f>
        <v>2363.28125</v>
      </c>
      <c r="T2">
        <f>K2/N2</f>
        <v>2363.281250001718</v>
      </c>
      <c r="U2" s="1">
        <f>H2/O2</f>
        <v>9.9999999999999991E-11</v>
      </c>
      <c r="V2" s="1">
        <f>I2/P2</f>
        <v>2.8800000000004228E-2</v>
      </c>
    </row>
    <row r="3" spans="1:22" x14ac:dyDescent="0.3">
      <c r="A3">
        <v>2</v>
      </c>
      <c r="B3">
        <v>2</v>
      </c>
      <c r="C3">
        <v>7</v>
      </c>
      <c r="D3">
        <v>18000</v>
      </c>
      <c r="E3" s="1">
        <v>3.2400000000000002E-10</v>
      </c>
      <c r="F3">
        <v>2.6857396646800001E-4</v>
      </c>
      <c r="G3">
        <v>230000</v>
      </c>
      <c r="H3" s="1">
        <v>5.2899999999999997E-8</v>
      </c>
      <c r="I3">
        <v>4.3850502549799997E-2</v>
      </c>
      <c r="J3">
        <f>0.0162*1000000</f>
        <v>16200</v>
      </c>
      <c r="K3">
        <v>42.971834634799997</v>
      </c>
      <c r="L3">
        <f t="shared" ref="L3:L4" si="0">2*PI()*60</f>
        <v>376.99111843077515</v>
      </c>
      <c r="M3">
        <f t="shared" ref="M3:M4" si="1">D3^2/100000000</f>
        <v>3.24</v>
      </c>
      <c r="N3">
        <f t="shared" ref="N3:N4" si="2">M3/L3</f>
        <v>8.5943669269623497E-3</v>
      </c>
      <c r="O3">
        <f t="shared" ref="O3:O4" si="3">G3^2/100000000</f>
        <v>529</v>
      </c>
      <c r="P3">
        <f t="shared" ref="P3:P4" si="4">O3/L3</f>
        <v>1.4032160815935439</v>
      </c>
      <c r="Q3" s="1">
        <f t="shared" ref="Q3:Q4" si="5">E3/M3</f>
        <v>1E-10</v>
      </c>
      <c r="R3">
        <f t="shared" ref="R3:R4" si="6">F3/N3</f>
        <v>3.1250000000049634E-2</v>
      </c>
      <c r="S3">
        <f t="shared" ref="S3:S4" si="7">J3/M3</f>
        <v>5000</v>
      </c>
      <c r="T3">
        <f t="shared" ref="T3:T4" si="8">K3/N3</f>
        <v>4999.999999998633</v>
      </c>
      <c r="U3" s="1">
        <f t="shared" ref="U3:U4" si="9">H3/O3</f>
        <v>9.9999999999999991E-11</v>
      </c>
      <c r="V3" s="1">
        <f t="shared" ref="V3:V4" si="10">I3/P3</f>
        <v>3.1250000000001249E-2</v>
      </c>
    </row>
    <row r="4" spans="1:22" x14ac:dyDescent="0.3">
      <c r="A4">
        <v>3</v>
      </c>
      <c r="B4">
        <v>3</v>
      </c>
      <c r="C4">
        <v>9</v>
      </c>
      <c r="D4">
        <v>15500</v>
      </c>
      <c r="E4" s="1">
        <v>2.4024900000000001E-10</v>
      </c>
      <c r="F4">
        <v>1.8672267757099999E-4</v>
      </c>
      <c r="G4">
        <v>230000</v>
      </c>
      <c r="H4" s="1">
        <v>5.2899999999999997E-8</v>
      </c>
      <c r="I4">
        <v>4.1114231190699999E-2</v>
      </c>
      <c r="J4">
        <v>12012.5</v>
      </c>
      <c r="K4">
        <v>31.864145898200238</v>
      </c>
      <c r="L4">
        <f t="shared" si="0"/>
        <v>376.99111843077515</v>
      </c>
      <c r="M4">
        <f>D4^2/100000000</f>
        <v>2.4024999999999999</v>
      </c>
      <c r="N4">
        <f t="shared" si="2"/>
        <v>6.3728291796379764E-3</v>
      </c>
      <c r="O4">
        <f t="shared" si="3"/>
        <v>529</v>
      </c>
      <c r="P4">
        <f t="shared" si="4"/>
        <v>1.4032160815935439</v>
      </c>
      <c r="Q4" s="1">
        <f t="shared" si="5"/>
        <v>9.9999583766909482E-11</v>
      </c>
      <c r="R4">
        <f t="shared" si="6"/>
        <v>2.9299808971438211E-2</v>
      </c>
      <c r="S4">
        <f t="shared" si="7"/>
        <v>5000</v>
      </c>
      <c r="T4">
        <f t="shared" si="8"/>
        <v>5000.0000000016253</v>
      </c>
      <c r="U4" s="1">
        <f>H4/O4</f>
        <v>9.9999999999999991E-11</v>
      </c>
      <c r="V4" s="1">
        <f t="shared" si="10"/>
        <v>2.9300000000006529E-2</v>
      </c>
    </row>
    <row r="6" spans="1:22" x14ac:dyDescent="0.3">
      <c r="T6" s="2"/>
    </row>
    <row r="9" spans="1:22" x14ac:dyDescent="0.3">
      <c r="E9" s="1"/>
      <c r="H9" s="1"/>
      <c r="Q9" s="1"/>
      <c r="U9" s="1"/>
      <c r="V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Hypersim</dc:creator>
  <cp:lastModifiedBy>Francesca</cp:lastModifiedBy>
  <dcterms:created xsi:type="dcterms:W3CDTF">2025-02-14T12:21:39Z</dcterms:created>
  <dcterms:modified xsi:type="dcterms:W3CDTF">2025-02-14T13:03:20Z</dcterms:modified>
</cp:coreProperties>
</file>