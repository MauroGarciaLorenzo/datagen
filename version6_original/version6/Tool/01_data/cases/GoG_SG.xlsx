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1E52B109-4763-4351-A457-2E25CDE1760A}" xr6:coauthVersionLast="47" xr6:coauthVersionMax="47" xr10:uidLastSave="{00000000-0000-0000-0000-000000000000}"/>
  <bookViews>
    <workbookView xWindow="7380" yWindow="1500" windowWidth="17280" windowHeight="8964" tabRatio="922" activeTab="15" xr2:uid="{00000000-000D-0000-FFFF-FFFF00000000}"/>
  </bookViews>
  <sheets>
    <sheet name="global" sheetId="1" r:id="rId1"/>
    <sheet name="global_DC" sheetId="21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G" sheetId="4" r:id="rId8"/>
    <sheet name="VSC" sheetId="14" r:id="rId9"/>
    <sheet name="IPC" sheetId="18" r:id="rId10"/>
    <sheet name="user" sheetId="15" r:id="rId11"/>
    <sheet name="b2b" sheetId="13" r:id="rId12"/>
    <sheet name="PF" sheetId="16" r:id="rId13"/>
    <sheet name="PF_DC" sheetId="20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0" l="1"/>
  <c r="K5" i="10"/>
  <c r="K4" i="10"/>
  <c r="K3" i="10"/>
  <c r="K2" i="10"/>
  <c r="E7" i="2"/>
  <c r="F6" i="2"/>
  <c r="E6" i="2"/>
  <c r="F4" i="2"/>
  <c r="E4" i="2"/>
  <c r="E3" i="2"/>
  <c r="F2" i="2"/>
  <c r="E2" i="2"/>
  <c r="H12" i="3"/>
  <c r="H11" i="3"/>
  <c r="H10" i="3"/>
  <c r="H9" i="3"/>
  <c r="H8" i="3"/>
  <c r="H7" i="3"/>
  <c r="H6" i="3"/>
  <c r="H5" i="3"/>
  <c r="H4" i="3"/>
  <c r="H3" i="3"/>
  <c r="H2" i="3"/>
  <c r="K4" i="18"/>
  <c r="L6" i="10"/>
  <c r="J6" i="10"/>
  <c r="I6" i="10"/>
  <c r="H6" i="10"/>
  <c r="G6" i="10"/>
  <c r="F6" i="10"/>
  <c r="E6" i="10"/>
  <c r="L5" i="10"/>
  <c r="J5" i="10"/>
  <c r="I5" i="10"/>
  <c r="H5" i="10"/>
  <c r="G5" i="10"/>
  <c r="F5" i="10"/>
  <c r="E5" i="10"/>
  <c r="L4" i="10"/>
  <c r="J4" i="10"/>
  <c r="I4" i="10"/>
  <c r="H4" i="10"/>
  <c r="G4" i="10"/>
  <c r="F4" i="10"/>
  <c r="E4" i="10"/>
  <c r="L2" i="10"/>
  <c r="L3" i="10" s="1"/>
  <c r="J2" i="10"/>
  <c r="I2" i="10"/>
  <c r="I3" i="10" s="1"/>
  <c r="H2" i="10"/>
  <c r="H3" i="10" s="1"/>
  <c r="G2" i="10"/>
  <c r="G3" i="10" s="1"/>
  <c r="F2" i="10"/>
  <c r="F3" i="10" s="1"/>
  <c r="E3" i="10"/>
  <c r="E2" i="10"/>
  <c r="J3" i="10"/>
  <c r="G12" i="3"/>
  <c r="G11" i="3"/>
  <c r="G10" i="3"/>
  <c r="G9" i="3"/>
  <c r="G8" i="3"/>
  <c r="G7" i="3"/>
  <c r="G6" i="3"/>
  <c r="G5" i="3"/>
  <c r="G4" i="3"/>
  <c r="G3" i="3"/>
  <c r="G2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<sst xmlns="http://schemas.openxmlformats.org/spreadsheetml/2006/main" count="209" uniqueCount="102">
  <si>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</si>
  <si>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</si>
  <si>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</si>
  <si>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</si>
  <si>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</si>
  <si>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</si>
  <si>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</si>
  <si>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</si>
  <si>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</si>
  <si>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</si>
  <si>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</si>
  <si>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</si>
  <si>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</si>
  <si>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</si>
  <si>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</si>
  <si>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</si>
  <si>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</si>
  <si>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</si>
  <si>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</si>
  <si>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</si>
  <si>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</si>
  <si>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</si>
  <si>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</si>
  <si>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</si>
  <si>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</si>
  <si>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</si>
  <si>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</si>
  <si>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</si>
  <si>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</si>
  <si>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</si>
  <si>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</si>
  <si>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</si>
  <si>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</si>
  <si>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</si>
  <si>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</si>
  <si>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</si>
  <si>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</si>
  <si>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</si>
  <si>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</si>
  <si>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</si>
  <si>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</si>
  <si>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</si>
  <si>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</si>
  <si>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</si>
  <si>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</si>
  <si>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</si>
  <si>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</si>
  <si>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</si>
  <si>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</si>
  <si>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</si>
  <si>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</si>
  <si>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</si>
  <si>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</si>
  <si>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</si>
  <si>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</si>
  <si>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</si>
  <si>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</si>
  <si>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</si>
  <si>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</si>
  <si>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</si>
  <si>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</si>
  <si>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</si>
  <si>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</si>
  <si>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</si>
  <si>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</si>
  <si>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</si>
  <si>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</si>
  <si>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</si>
  <si>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</si>
  <si>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</si>
  <si>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</si>
  <si>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</si>
  <si>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</si>
  <si>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</si>
  <si>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</si>
  <si>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</si>
  <si>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</si>
  <si>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</si>
  <si>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</si>
  <si>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</si>
  <si>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</si>
  <si>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</si>
  <si>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</si>
  <si>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</si>
  <si>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</si>
  <si>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</si>
  <si>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</si>
  <si>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</si>
  <si>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</si>
  <si>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</si>
  <si>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</si>
  <si>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busdc</t>
  </si>
  <si>
    <t>AC-GFOL_DC-GFOL</t>
  </si>
  <si>
    <t>AC-GFOL_DC-GFOR</t>
  </si>
  <si>
    <t>AreaDC</t>
  </si>
  <si>
    <t>typedc</t>
  </si>
  <si>
    <t>Pdc</t>
  </si>
  <si>
    <t>Vdcn</t>
  </si>
  <si>
    <t>RX</t>
  </si>
  <si>
    <t>AC-GFOR_DC-GFOL</t>
  </si>
  <si>
    <t>no</t>
  </si>
  <si>
    <t>SyncArea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</si>
</sst>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000"/>
    <numFmt numFmtId="167" formatCode="0.000000000"/>
  </numFmts>
  <fonts count="5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B5" sqref="B5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1" customFormat="1" x14ac:dyDescent="0.25">
      <c r="A1" s="23" t="s">
        <v>58</v>
      </c>
      <c r="B1" s="23" t="s">
        <v>101</v>
      </c>
      <c r="C1" s="23" t="s">
        <v>50</v>
      </c>
      <c r="D1" s="23" t="s">
        <v>10</v>
      </c>
      <c r="E1" s="23" t="s">
        <v>11</v>
      </c>
      <c r="F1" s="23" t="s">
        <v>80</v>
      </c>
      <c r="G1" s="23" t="s">
        <v>90</v>
      </c>
    </row>
    <row r="2" spans="1:7" x14ac:dyDescent="0.25">
      <c r="A2" s="7">
        <v>1</v>
      </c>
      <c r="B2" s="7">
        <v>1</v>
      </c>
      <c r="C2" s="7">
        <v>280</v>
      </c>
      <c r="D2" s="7">
        <v>500</v>
      </c>
      <c r="E2" s="7">
        <v>50</v>
      </c>
      <c r="F2" s="8">
        <v>1</v>
      </c>
      <c r="G2" s="7" t="s">
        <v>81</v>
      </c>
    </row>
    <row r="3" spans="1:7" x14ac:dyDescent="0.25">
      <c r="A3" s="7">
        <v>2</v>
      </c>
      <c r="B3" s="7">
        <v>2</v>
      </c>
      <c r="C3" s="7">
        <v>280</v>
      </c>
      <c r="D3" s="7">
        <v>500</v>
      </c>
      <c r="E3" s="7">
        <v>50</v>
      </c>
      <c r="F3" s="8">
        <v>8</v>
      </c>
      <c r="G3" s="7" t="s">
        <v>81</v>
      </c>
    </row>
    <row r="4" spans="1:7" x14ac:dyDescent="0.25">
      <c r="A4" s="7">
        <v>3</v>
      </c>
      <c r="B4" s="7">
        <v>3</v>
      </c>
      <c r="C4" s="7">
        <v>280</v>
      </c>
      <c r="D4" s="7">
        <v>500</v>
      </c>
      <c r="E4" s="7">
        <v>50</v>
      </c>
      <c r="F4" s="8">
        <v>11</v>
      </c>
      <c r="G4" s="7" t="s">
        <v>81</v>
      </c>
    </row>
    <row r="5" spans="1:7" ht="14.25" customHeight="1" x14ac:dyDescent="0.25"/>
    <row r="7" spans="1:7" ht="12.75" customHeight="1" x14ac:dyDescent="0.25"/>
  </sheetData>
  <dataValidations count="1">
    <dataValidation type="whole" allowBlank="1" showInputMessage="1" showErrorMessage="1" sqref="F3" xr:uid="{B98E629F-DDDA-4CF1-80B3-5E9B61FC1965}">
      <formula1>0</formula1>
      <formula2>9000000000</formula2>
    </dataValidation>
  </dataValidations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2AC2-0EE5-4811-8D24-80CCE8DD4038}">
  <dimension ref="A1:C7"/>
  <sheetViews>
    <sheetView zoomScaleNormal="100" workbookViewId="0">
      <selection activeCell="C4" sqref="C4"/>
    </sheetView>
  </sheetViews>
  <sheetFormatPr defaultColWidth="8.6640625" defaultRowHeight="13.8" x14ac:dyDescent="0.25"/>
  <cols>
    <col min="1" max="16384" width="8.6640625" style="7"/>
  </cols>
  <sheetData>
    <row r="1" spans="1:3" s="31" customFormat="1" x14ac:dyDescent="0.25">
      <c r="A1" s="23" t="s">
        <v>58</v>
      </c>
      <c r="B1" s="23" t="s">
        <v>50</v>
      </c>
      <c r="C1" s="23" t="s">
        <v>10</v>
      </c>
    </row>
    <row r="2" spans="1:3" x14ac:dyDescent="0.25">
      <c r="A2" s="7">
        <v>1</v>
      </c>
      <c r="B2" s="7">
        <v>640</v>
      </c>
      <c r="C2" s="7">
        <v>500</v>
      </c>
    </row>
    <row r="3" spans="1:3" x14ac:dyDescent="0.25">
      <c r="A3" s="7">
        <v>2</v>
      </c>
      <c r="B3" s="7">
        <v>640</v>
      </c>
      <c r="C3" s="7">
        <v>500</v>
      </c>
    </row>
    <row r="5" spans="1:3" ht="14.25" customHeight="1" x14ac:dyDescent="0.25"/>
    <row r="7" spans="1:3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D15" sqref="D15"/>
    </sheetView>
  </sheetViews>
  <sheetFormatPr defaultColWidth="8.6640625" defaultRowHeight="13.8" x14ac:dyDescent="0.3"/>
  <cols>
    <col min="1" max="1" width="8.6640625" style="1"/>
    <col min="2" max="3" width="8.6640625" style="52"/>
    <col min="4" max="7" width="8.6640625" style="1"/>
    <col min="8" max="8" width="11.77734375" style="1" bestFit="1" customWidth="1"/>
    <col min="9" max="16384" width="8.6640625" style="1"/>
  </cols>
  <sheetData>
    <row r="1" spans="1:9" s="21" customFormat="1" x14ac:dyDescent="0.3">
      <c r="A1" s="35" t="s">
        <v>26</v>
      </c>
      <c r="B1" s="35" t="s">
        <v>58</v>
      </c>
      <c r="C1" s="35" t="s">
        <v>101</v>
      </c>
      <c r="D1" s="35" t="s">
        <v>1</v>
      </c>
      <c r="E1" s="35" t="s">
        <v>2</v>
      </c>
      <c r="F1" s="35" t="s">
        <v>12</v>
      </c>
      <c r="G1" s="35" t="s">
        <v>16</v>
      </c>
      <c r="H1" s="35" t="s">
        <v>25</v>
      </c>
      <c r="I1" s="35" t="s">
        <v>89</v>
      </c>
    </row>
    <row r="2" spans="1:9" x14ac:dyDescent="0.3">
      <c r="A2" s="1">
        <v>1</v>
      </c>
      <c r="B2" s="52">
        <v>1</v>
      </c>
      <c r="C2" s="52">
        <v>1</v>
      </c>
      <c r="D2" s="52">
        <v>1</v>
      </c>
      <c r="E2" s="52">
        <v>2</v>
      </c>
      <c r="F2" s="1">
        <f>6.4/156.8</f>
        <v>4.0816326530612242E-2</v>
      </c>
      <c r="G2" s="1">
        <f>0.064*2*PI()*50/156.8</f>
        <v>0.12822827157509359</v>
      </c>
      <c r="H2" s="52">
        <f>0.0236448829479782/2</f>
        <v>1.1822441473989099E-2</v>
      </c>
      <c r="I2" s="1">
        <v>1</v>
      </c>
    </row>
    <row r="3" spans="1:9" x14ac:dyDescent="0.3">
      <c r="A3" s="1">
        <v>2</v>
      </c>
      <c r="B3" s="52">
        <v>1</v>
      </c>
      <c r="C3" s="52">
        <v>1</v>
      </c>
      <c r="D3" s="52">
        <v>1</v>
      </c>
      <c r="E3" s="52">
        <v>3</v>
      </c>
      <c r="F3" s="1">
        <f>4.8/156.8</f>
        <v>3.0612244897959179E-2</v>
      </c>
      <c r="G3" s="1">
        <f>0.048*2*PI()*50/156.8</f>
        <v>9.6171203681320191E-2</v>
      </c>
      <c r="H3" s="52">
        <f>0.0177336622109837/2</f>
        <v>8.86683110549185E-3</v>
      </c>
      <c r="I3" s="1">
        <v>1</v>
      </c>
    </row>
    <row r="4" spans="1:9" x14ac:dyDescent="0.3">
      <c r="A4" s="1">
        <v>3</v>
      </c>
      <c r="B4" s="52">
        <v>1</v>
      </c>
      <c r="C4" s="52">
        <v>1</v>
      </c>
      <c r="D4" s="52">
        <v>2</v>
      </c>
      <c r="E4" s="52">
        <v>4</v>
      </c>
      <c r="F4" s="1">
        <f>7.2/156.8</f>
        <v>4.5918367346938771E-2</v>
      </c>
      <c r="G4" s="52">
        <f>0.072*2*PI()*50/156.8</f>
        <v>0.14425680552198025</v>
      </c>
      <c r="H4" s="52">
        <f>0.0266004933164755/2</f>
        <v>1.3300246658237751E-2</v>
      </c>
      <c r="I4" s="1">
        <v>1</v>
      </c>
    </row>
    <row r="5" spans="1:9" x14ac:dyDescent="0.3">
      <c r="A5" s="1">
        <v>4</v>
      </c>
      <c r="B5" s="52">
        <v>1</v>
      </c>
      <c r="C5" s="52">
        <v>1</v>
      </c>
      <c r="D5" s="52">
        <v>3</v>
      </c>
      <c r="E5" s="52">
        <v>4</v>
      </c>
      <c r="F5" s="1">
        <f>3.2/156.8</f>
        <v>2.0408163265306121E-2</v>
      </c>
      <c r="G5" s="52">
        <f>0.032*2*PI()*50/156.8</f>
        <v>6.4114135787546794E-2</v>
      </c>
      <c r="H5" s="52">
        <f>0.0118224414739891/2</f>
        <v>5.9112207369945496E-3</v>
      </c>
      <c r="I5" s="1">
        <v>1</v>
      </c>
    </row>
    <row r="6" spans="1:9" x14ac:dyDescent="0.3">
      <c r="A6" s="1">
        <v>5</v>
      </c>
      <c r="B6" s="52">
        <v>1</v>
      </c>
      <c r="C6" s="52">
        <v>1</v>
      </c>
      <c r="D6" s="52">
        <v>3</v>
      </c>
      <c r="E6" s="52">
        <v>5</v>
      </c>
      <c r="F6" s="1">
        <f>5.6/156.8</f>
        <v>3.5714285714285712E-2</v>
      </c>
      <c r="G6" s="52">
        <f>0.056*2*PI()*50/156.8</f>
        <v>0.11219973762820688</v>
      </c>
      <c r="H6" s="52">
        <f>0.0206892725794809/2</f>
        <v>1.0344636289740449E-2</v>
      </c>
      <c r="I6" s="1">
        <v>1</v>
      </c>
    </row>
    <row r="7" spans="1:9" x14ac:dyDescent="0.3">
      <c r="A7" s="1">
        <v>6</v>
      </c>
      <c r="B7" s="52">
        <v>1</v>
      </c>
      <c r="C7" s="52">
        <v>1</v>
      </c>
      <c r="D7" s="52">
        <v>4</v>
      </c>
      <c r="E7" s="52">
        <v>5</v>
      </c>
      <c r="F7" s="1">
        <f>6.4/156.8</f>
        <v>4.0816326530612242E-2</v>
      </c>
      <c r="G7" s="52">
        <f>0.064*2*PI()*50/156.8</f>
        <v>0.12822827157509359</v>
      </c>
      <c r="H7" s="52">
        <f>0.0236448829479782/2</f>
        <v>1.1822441473989099E-2</v>
      </c>
      <c r="I7" s="1">
        <v>1</v>
      </c>
    </row>
    <row r="8" spans="1:9" x14ac:dyDescent="0.3">
      <c r="A8" s="52">
        <v>7</v>
      </c>
      <c r="B8" s="52">
        <v>2</v>
      </c>
      <c r="C8" s="52">
        <v>2</v>
      </c>
      <c r="D8" s="52">
        <v>6</v>
      </c>
      <c r="E8" s="52">
        <v>7</v>
      </c>
      <c r="F8" s="52">
        <f>8/96.8</f>
        <v>8.2644628099173556E-2</v>
      </c>
      <c r="G8" s="52">
        <f>0.08*2*PI()*60/96.8</f>
        <v>0.31156290779402912</v>
      </c>
      <c r="H8" s="52">
        <f>0.0218956441584594/2</f>
        <v>1.09478220792297E-2</v>
      </c>
      <c r="I8" s="52">
        <v>1</v>
      </c>
    </row>
    <row r="9" spans="1:9" x14ac:dyDescent="0.3">
      <c r="A9" s="52">
        <v>8</v>
      </c>
      <c r="B9" s="52">
        <v>2</v>
      </c>
      <c r="C9" s="52">
        <v>2</v>
      </c>
      <c r="D9" s="52">
        <v>6</v>
      </c>
      <c r="E9" s="52">
        <v>9</v>
      </c>
      <c r="F9" s="52">
        <f>6.4/96.8</f>
        <v>6.6115702479338845E-2</v>
      </c>
      <c r="G9" s="52">
        <f>0.064*2*PI()*60/96.8</f>
        <v>0.24925032623522328</v>
      </c>
      <c r="H9" s="52">
        <f>0.0175165153267675/2</f>
        <v>8.7582576633837492E-3</v>
      </c>
      <c r="I9" s="52">
        <v>1</v>
      </c>
    </row>
    <row r="10" spans="1:9" x14ac:dyDescent="0.3">
      <c r="A10" s="52">
        <v>9</v>
      </c>
      <c r="B10" s="52">
        <v>2</v>
      </c>
      <c r="C10" s="52">
        <v>2</v>
      </c>
      <c r="D10" s="52">
        <v>7</v>
      </c>
      <c r="E10" s="52">
        <v>8</v>
      </c>
      <c r="F10" s="52">
        <f>6/96.8</f>
        <v>6.1983471074380167E-2</v>
      </c>
      <c r="G10" s="52">
        <f>0.06*2*PI()*60/96.8</f>
        <v>0.2336721808455218</v>
      </c>
      <c r="H10" s="52">
        <f>0.0164217331188446/2</f>
        <v>8.2108665594223008E-3</v>
      </c>
      <c r="I10" s="52">
        <v>1</v>
      </c>
    </row>
    <row r="11" spans="1:9" x14ac:dyDescent="0.3">
      <c r="A11" s="52">
        <v>10</v>
      </c>
      <c r="B11" s="52">
        <v>2</v>
      </c>
      <c r="C11" s="52">
        <v>2</v>
      </c>
      <c r="D11" s="52">
        <v>8</v>
      </c>
      <c r="E11" s="52">
        <v>9</v>
      </c>
      <c r="F11" s="52">
        <f>8/96.8</f>
        <v>8.2644628099173556E-2</v>
      </c>
      <c r="G11" s="52">
        <f>0.08*2*PI()*60/96.8</f>
        <v>0.31156290779402912</v>
      </c>
      <c r="H11" s="52">
        <f>0.0218956441584594/2</f>
        <v>1.09478220792297E-2</v>
      </c>
      <c r="I11" s="52">
        <v>1</v>
      </c>
    </row>
    <row r="12" spans="1:9" x14ac:dyDescent="0.3">
      <c r="A12" s="52">
        <v>11</v>
      </c>
      <c r="B12" s="52">
        <v>3</v>
      </c>
      <c r="C12" s="52">
        <v>3</v>
      </c>
      <c r="D12" s="52">
        <v>10</v>
      </c>
      <c r="E12" s="52">
        <v>11</v>
      </c>
      <c r="F12" s="52">
        <f>0.8/204.8</f>
        <v>3.90625E-3</v>
      </c>
      <c r="G12" s="52">
        <f>0.01*2*PI()*33/204.8</f>
        <v>1.0124273200045232E-2</v>
      </c>
      <c r="H12" s="52">
        <f>0.00904489155054906/2</f>
        <v>4.5224457752745303E-3</v>
      </c>
      <c r="I12" s="52">
        <v>1</v>
      </c>
    </row>
    <row r="13" spans="1:9" x14ac:dyDescent="0.3">
      <c r="A13" s="52"/>
      <c r="D13" s="52"/>
      <c r="E13" s="52"/>
      <c r="F13" s="52"/>
      <c r="G13" s="52"/>
      <c r="H13" s="52"/>
      <c r="I13" s="52"/>
    </row>
    <row r="14" spans="1:9" x14ac:dyDescent="0.3">
      <c r="A14" s="2"/>
      <c r="B14" s="53"/>
      <c r="C14" s="53"/>
      <c r="D14" s="2"/>
      <c r="E14" s="2"/>
      <c r="F14" s="2"/>
      <c r="G14" s="2"/>
      <c r="H14" s="2"/>
    </row>
    <row r="15" spans="1:9" x14ac:dyDescent="0.3">
      <c r="A15" s="2"/>
      <c r="B15" s="53"/>
      <c r="C15" s="53"/>
      <c r="D15" s="2"/>
      <c r="E15" s="2"/>
      <c r="F15" s="2"/>
      <c r="G15" s="2"/>
      <c r="H15" s="2"/>
    </row>
    <row r="16" spans="1:9" x14ac:dyDescent="0.3">
      <c r="A16" s="2"/>
      <c r="B16" s="53"/>
      <c r="C16" s="53"/>
      <c r="D16" s="2"/>
      <c r="E16" s="2"/>
      <c r="F16" s="2"/>
      <c r="G16" s="2"/>
      <c r="H16" s="2"/>
    </row>
    <row r="17" spans="1:8" x14ac:dyDescent="0.3">
      <c r="A17" s="2"/>
      <c r="B17" s="53"/>
      <c r="C17" s="53"/>
      <c r="D17" s="2"/>
      <c r="E17" s="2"/>
      <c r="F17" s="2"/>
      <c r="G17" s="2"/>
      <c r="H17" s="2"/>
    </row>
    <row r="18" spans="1:8" x14ac:dyDescent="0.3">
      <c r="A18" s="2"/>
      <c r="B18" s="53"/>
      <c r="C18" s="53"/>
      <c r="D18" s="2"/>
      <c r="E18" s="2"/>
      <c r="F18" s="2"/>
      <c r="G18" s="2"/>
      <c r="H18" s="2"/>
    </row>
    <row r="19" spans="1:8" x14ac:dyDescent="0.3">
      <c r="A19" s="2"/>
      <c r="B19" s="53"/>
      <c r="C19" s="53"/>
      <c r="D19" s="2"/>
      <c r="E19" s="2"/>
      <c r="F19" s="2"/>
      <c r="G19" s="2"/>
      <c r="H19" s="2"/>
    </row>
    <row r="20" spans="1:8" x14ac:dyDescent="0.3">
      <c r="A20" s="2"/>
      <c r="B20" s="53"/>
      <c r="C20" s="53"/>
      <c r="D20" s="2"/>
      <c r="E20" s="2"/>
      <c r="F20" s="2"/>
      <c r="G20" s="2"/>
      <c r="H20" s="2"/>
    </row>
    <row r="21" spans="1:8" x14ac:dyDescent="0.3">
      <c r="A21" s="2"/>
      <c r="B21" s="53"/>
      <c r="C21" s="53"/>
      <c r="D21" s="2"/>
      <c r="E21" s="2"/>
      <c r="F21" s="2"/>
      <c r="G21" s="2"/>
      <c r="H21" s="2"/>
    </row>
    <row r="22" spans="1:8" x14ac:dyDescent="0.3">
      <c r="A22" s="2"/>
      <c r="B22" s="53"/>
      <c r="C22" s="53"/>
      <c r="D22" s="2"/>
      <c r="E22" s="2"/>
      <c r="F22" s="2"/>
      <c r="G22" s="2"/>
      <c r="H22" s="2"/>
    </row>
    <row r="23" spans="1:8" x14ac:dyDescent="0.3">
      <c r="A23" s="2"/>
      <c r="B23" s="53"/>
      <c r="C23" s="53"/>
      <c r="D23" s="2"/>
      <c r="E23" s="2"/>
      <c r="F23" s="2"/>
      <c r="G23" s="2"/>
      <c r="H23" s="2"/>
    </row>
    <row r="24" spans="1:8" x14ac:dyDescent="0.3">
      <c r="A24" s="2"/>
      <c r="B24" s="53"/>
      <c r="C24" s="53"/>
      <c r="D24" s="2"/>
      <c r="E24" s="2"/>
      <c r="F24" s="2"/>
      <c r="G24" s="2"/>
      <c r="H24" s="2"/>
    </row>
    <row r="25" spans="1:8" x14ac:dyDescent="0.3">
      <c r="A25" s="2"/>
      <c r="B25" s="53"/>
      <c r="C25" s="53"/>
      <c r="D25" s="2"/>
      <c r="E25" s="2"/>
      <c r="F25" s="2"/>
      <c r="G25" s="2"/>
      <c r="H25" s="2"/>
    </row>
    <row r="26" spans="1:8" x14ac:dyDescent="0.3">
      <c r="A26" s="2"/>
      <c r="B26" s="53"/>
      <c r="C26" s="53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M6"/>
  <sheetViews>
    <sheetView zoomScaleNormal="100" workbookViewId="0">
      <selection activeCell="K7" sqref="K7"/>
    </sheetView>
  </sheetViews>
  <sheetFormatPr defaultColWidth="8.6640625" defaultRowHeight="13.8" x14ac:dyDescent="0.25"/>
  <cols>
    <col min="1" max="4" width="8.6640625" style="8"/>
    <col min="5" max="7" width="8.77734375" style="8" bestFit="1" customWidth="1"/>
    <col min="8" max="8" width="11.77734375" style="8" bestFit="1" customWidth="1"/>
    <col min="9" max="11" width="8.77734375" style="8" bestFit="1" customWidth="1"/>
    <col min="12" max="12" width="10.77734375" style="8" bestFit="1" customWidth="1"/>
    <col min="13" max="16384" width="8.6640625" style="8"/>
  </cols>
  <sheetData>
    <row r="1" spans="1:13" s="10" customFormat="1" x14ac:dyDescent="0.25">
      <c r="A1" s="9" t="s">
        <v>26</v>
      </c>
      <c r="B1" s="9" t="s">
        <v>58</v>
      </c>
      <c r="C1" s="9" t="s">
        <v>1</v>
      </c>
      <c r="D1" s="9" t="s">
        <v>2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89</v>
      </c>
    </row>
    <row r="2" spans="1:13" x14ac:dyDescent="0.3">
      <c r="A2" s="8">
        <v>1</v>
      </c>
      <c r="B2" s="8">
        <v>1</v>
      </c>
      <c r="C2" s="8">
        <v>1</v>
      </c>
      <c r="D2" s="8">
        <v>3</v>
      </c>
      <c r="E2" s="52">
        <f>50.5942591516435/819.2</f>
        <v>6.1760570253471064E-2</v>
      </c>
      <c r="F2" s="52">
        <f>60.1545746701888/819.2</f>
        <v>7.3430877282945312E-2</v>
      </c>
      <c r="G2" s="52">
        <f>7.09527553429279/819.2</f>
        <v>8.6612250174472518E-3</v>
      </c>
      <c r="H2" s="52">
        <f>0.1057463798508/819.2</f>
        <v>1.2908493634130859E-4</v>
      </c>
      <c r="I2" s="52">
        <f>2.9145950655256/819.2</f>
        <v>3.5578553045966794E-3</v>
      </c>
      <c r="J2" s="52">
        <f>1.4479517571296/819.2</f>
        <v>1.7675192347773436E-3</v>
      </c>
      <c r="K2" s="3">
        <f>0.000008*2</f>
        <v>1.5999999999999999E-5</v>
      </c>
      <c r="L2" s="3">
        <f>0.0000000025378*2/819.2</f>
        <v>6.1958007812500002E-12</v>
      </c>
      <c r="M2" s="8">
        <v>1</v>
      </c>
    </row>
    <row r="3" spans="1:13" x14ac:dyDescent="0.3">
      <c r="A3" s="8">
        <v>2</v>
      </c>
      <c r="B3" s="8">
        <v>1</v>
      </c>
      <c r="C3" s="8">
        <v>2</v>
      </c>
      <c r="D3" s="8">
        <v>3</v>
      </c>
      <c r="E3" s="52">
        <f>E2/2</f>
        <v>3.0880285126735532E-2</v>
      </c>
      <c r="F3" s="52">
        <f>F2/2</f>
        <v>3.6715438641472656E-2</v>
      </c>
      <c r="G3" s="52">
        <f>G2/2</f>
        <v>4.3306125087236259E-3</v>
      </c>
      <c r="H3" s="52">
        <f t="shared" ref="H3:J3" si="0">H2/2</f>
        <v>6.4542468170654296E-5</v>
      </c>
      <c r="I3" s="52">
        <f t="shared" si="0"/>
        <v>1.7789276522983397E-3</v>
      </c>
      <c r="J3" s="52">
        <f t="shared" si="0"/>
        <v>8.8375961738867178E-4</v>
      </c>
      <c r="K3" s="3">
        <f>K2/2</f>
        <v>7.9999999999999996E-6</v>
      </c>
      <c r="L3" s="3">
        <f>L2/2</f>
        <v>3.0979003906250001E-12</v>
      </c>
      <c r="M3" s="8">
        <v>1</v>
      </c>
    </row>
    <row r="4" spans="1:13" x14ac:dyDescent="0.3">
      <c r="A4" s="8">
        <v>3</v>
      </c>
      <c r="B4" s="8">
        <v>2</v>
      </c>
      <c r="C4" s="8">
        <v>4</v>
      </c>
      <c r="D4" s="8">
        <v>5</v>
      </c>
      <c r="E4" s="52">
        <f>25.2971295758217/819.2</f>
        <v>3.0880285126735473E-2</v>
      </c>
      <c r="F4" s="52">
        <f>30.0772873350944/819.2</f>
        <v>3.6715438641472656E-2</v>
      </c>
      <c r="G4" s="52">
        <f>3.5476377671464/819.2</f>
        <v>4.3306125087236328E-3</v>
      </c>
      <c r="H4" s="52">
        <f>0.0528731899254/819.2</f>
        <v>6.4542468170654296E-5</v>
      </c>
      <c r="I4" s="52">
        <f>1.4572975327628/819.2</f>
        <v>1.7789276522983397E-3</v>
      </c>
      <c r="J4" s="52">
        <f>0.7239758785648/819.2</f>
        <v>8.8375961738867178E-4</v>
      </c>
      <c r="K4" s="3">
        <f>K3</f>
        <v>7.9999999999999996E-6</v>
      </c>
      <c r="L4" s="52">
        <f>0.0000000025378/819.2</f>
        <v>3.0979003906250001E-12</v>
      </c>
      <c r="M4" s="8">
        <v>1</v>
      </c>
    </row>
    <row r="5" spans="1:13" x14ac:dyDescent="0.3">
      <c r="A5" s="8">
        <v>4</v>
      </c>
      <c r="B5" s="8">
        <v>2</v>
      </c>
      <c r="C5" s="8">
        <v>4</v>
      </c>
      <c r="D5" s="8">
        <v>6</v>
      </c>
      <c r="E5" s="52">
        <f>37.9456943637326/819.2</f>
        <v>4.632042769010327E-2</v>
      </c>
      <c r="F5" s="52">
        <f>45.1159310026416/819.2</f>
        <v>5.5073157962208984E-2</v>
      </c>
      <c r="G5" s="52">
        <f>5.3214566507196/819.2</f>
        <v>6.4959187630854497E-3</v>
      </c>
      <c r="H5" s="52">
        <f>0.0793097848881/819.2</f>
        <v>9.6813702255981444E-5</v>
      </c>
      <c r="I5" s="52">
        <f>2.1859462991442/819.2</f>
        <v>2.6683914784475095E-3</v>
      </c>
      <c r="J5" s="52">
        <f>1.0859638178472/819.2</f>
        <v>1.3256394260830076E-3</v>
      </c>
      <c r="K5" s="3">
        <f>0.000006*2</f>
        <v>1.2E-5</v>
      </c>
      <c r="L5" s="3">
        <f>0.0000000038067/819.2</f>
        <v>4.6468505859374999E-12</v>
      </c>
      <c r="M5" s="8">
        <v>1</v>
      </c>
    </row>
    <row r="6" spans="1:13" x14ac:dyDescent="0.3">
      <c r="A6" s="8">
        <v>5</v>
      </c>
      <c r="B6" s="8">
        <v>2</v>
      </c>
      <c r="C6" s="8">
        <v>5</v>
      </c>
      <c r="D6" s="8">
        <v>6</v>
      </c>
      <c r="E6" s="52">
        <f>18.9728471818663/819.2</f>
        <v>2.3160213845051635E-2</v>
      </c>
      <c r="F6" s="52">
        <f>22.5579655013208/819.2</f>
        <v>2.7536578981104492E-2</v>
      </c>
      <c r="G6" s="52">
        <f>2.6607283253598/819.2</f>
        <v>3.2479593815427248E-3</v>
      </c>
      <c r="H6" s="52">
        <f>0.03965489244405/819.2</f>
        <v>4.8406851127990722E-5</v>
      </c>
      <c r="I6" s="52">
        <f>1.0929731495721/819.2</f>
        <v>1.3341957392237547E-3</v>
      </c>
      <c r="J6" s="52">
        <f>0.5429819089236/819.2</f>
        <v>6.6281971304150381E-4</v>
      </c>
      <c r="K6" s="3">
        <f>0.000003*2</f>
        <v>6.0000000000000002E-6</v>
      </c>
      <c r="L6" s="3">
        <f>0.00000000190335/819.2</f>
        <v>2.32342529296875E-12</v>
      </c>
      <c r="M6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C2" sqref="C2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0" customFormat="1" ht="13.8" x14ac:dyDescent="0.25">
      <c r="A1" s="23" t="s">
        <v>26</v>
      </c>
      <c r="B1" s="23" t="s">
        <v>58</v>
      </c>
      <c r="C1" s="23" t="s">
        <v>101</v>
      </c>
      <c r="D1" s="23" t="s">
        <v>1</v>
      </c>
      <c r="E1" s="23" t="s">
        <v>2</v>
      </c>
      <c r="F1" s="23" t="s">
        <v>12</v>
      </c>
      <c r="G1" s="23" t="s">
        <v>16</v>
      </c>
      <c r="H1" s="23" t="s">
        <v>13</v>
      </c>
      <c r="I1" s="23" t="s">
        <v>14</v>
      </c>
      <c r="J1" s="23" t="s">
        <v>15</v>
      </c>
      <c r="K1" s="23" t="s">
        <v>89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A2" sqref="A2:XFD4"/>
    </sheetView>
  </sheetViews>
  <sheetFormatPr defaultColWidth="8.6640625" defaultRowHeight="13.8" x14ac:dyDescent="0.3"/>
  <cols>
    <col min="1" max="2" width="8.6640625" style="1"/>
    <col min="3" max="4" width="8.6640625" style="52"/>
    <col min="5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14" x14ac:dyDescent="0.3">
      <c r="A1" s="9" t="s">
        <v>26</v>
      </c>
      <c r="B1" s="9" t="s">
        <v>0</v>
      </c>
      <c r="C1" s="9" t="s">
        <v>58</v>
      </c>
      <c r="D1" s="9" t="s">
        <v>101</v>
      </c>
      <c r="E1" s="9" t="s">
        <v>67</v>
      </c>
      <c r="F1" s="9" t="s">
        <v>68</v>
      </c>
      <c r="G1" s="6" t="s">
        <v>12</v>
      </c>
      <c r="H1" s="6" t="s">
        <v>16</v>
      </c>
      <c r="I1" s="6" t="s">
        <v>89</v>
      </c>
      <c r="J1" s="20" t="s">
        <v>27</v>
      </c>
      <c r="K1" s="19" t="s">
        <v>9</v>
      </c>
      <c r="L1" s="19" t="s">
        <v>79</v>
      </c>
      <c r="M1" s="19" t="s">
        <v>49</v>
      </c>
      <c r="N1" s="19" t="s">
        <v>3</v>
      </c>
    </row>
    <row r="2" spans="1:14" x14ac:dyDescent="0.3">
      <c r="A2" s="54"/>
      <c r="B2" s="54"/>
      <c r="C2" s="54"/>
      <c r="D2" s="54"/>
      <c r="E2" s="54"/>
      <c r="F2" s="54"/>
      <c r="J2" s="54"/>
      <c r="K2" s="54"/>
      <c r="L2" s="54"/>
      <c r="M2" s="54"/>
      <c r="N2" s="54"/>
    </row>
    <row r="3" spans="1:14" x14ac:dyDescent="0.3">
      <c r="A3" s="54"/>
      <c r="B3" s="54"/>
      <c r="C3" s="54"/>
      <c r="D3" s="54"/>
      <c r="E3" s="54"/>
      <c r="F3" s="54"/>
      <c r="G3" s="52"/>
      <c r="H3" s="52"/>
      <c r="I3" s="52"/>
      <c r="J3" s="54"/>
      <c r="K3" s="54"/>
      <c r="L3" s="54"/>
      <c r="M3" s="54"/>
      <c r="N3" s="54"/>
    </row>
    <row r="4" spans="1:14" x14ac:dyDescent="0.3">
      <c r="A4" s="54"/>
      <c r="B4" s="54"/>
      <c r="C4" s="54"/>
      <c r="D4" s="54"/>
      <c r="E4" s="54"/>
      <c r="F4" s="54"/>
      <c r="G4" s="52"/>
      <c r="H4" s="52"/>
      <c r="I4" s="52"/>
      <c r="J4" s="54"/>
      <c r="K4" s="54"/>
      <c r="L4" s="54"/>
      <c r="M4" s="54"/>
      <c r="N4" s="54"/>
    </row>
    <row r="5" spans="1:14" x14ac:dyDescent="0.3">
      <c r="A5" s="2"/>
      <c r="B5" s="2"/>
      <c r="C5" s="53"/>
      <c r="D5" s="53"/>
      <c r="E5" s="2"/>
      <c r="F5" s="2"/>
      <c r="G5" s="2"/>
      <c r="H5" s="2"/>
      <c r="I5" s="2"/>
      <c r="J5" s="2"/>
    </row>
    <row r="6" spans="1:14" x14ac:dyDescent="0.3">
      <c r="A6" s="2"/>
      <c r="B6" s="2"/>
      <c r="C6" s="53"/>
      <c r="D6" s="53"/>
      <c r="E6" s="2"/>
      <c r="F6" s="2"/>
      <c r="G6" s="2"/>
      <c r="H6" s="2"/>
      <c r="I6" s="2"/>
      <c r="J6" s="2"/>
    </row>
    <row r="7" spans="1:14" x14ac:dyDescent="0.3">
      <c r="A7" s="2"/>
      <c r="B7" s="2"/>
      <c r="C7" s="53"/>
      <c r="D7" s="53"/>
      <c r="E7" s="2"/>
      <c r="F7" s="2"/>
      <c r="G7" s="2"/>
      <c r="H7" s="2"/>
      <c r="I7" s="2"/>
      <c r="J7" s="2"/>
    </row>
    <row r="8" spans="1:14" x14ac:dyDescent="0.3">
      <c r="A8" s="2"/>
      <c r="B8" s="2"/>
      <c r="C8" s="53"/>
      <c r="D8" s="53"/>
      <c r="E8" s="2"/>
      <c r="F8" s="2"/>
      <c r="G8" s="16"/>
      <c r="H8" s="2"/>
      <c r="I8" s="2"/>
      <c r="J8" s="2"/>
    </row>
    <row r="9" spans="1:14" x14ac:dyDescent="0.3">
      <c r="A9" s="2"/>
      <c r="B9" s="2"/>
      <c r="C9" s="53"/>
      <c r="D9" s="53"/>
      <c r="E9" s="2"/>
      <c r="F9" s="2"/>
      <c r="G9" s="16"/>
      <c r="H9" s="2"/>
      <c r="I9" s="2"/>
      <c r="J9" s="2"/>
    </row>
    <row r="10" spans="1:14" x14ac:dyDescent="0.3">
      <c r="A10" s="2"/>
      <c r="B10" s="2"/>
      <c r="C10" s="53"/>
      <c r="D10" s="53"/>
      <c r="E10" s="2"/>
      <c r="F10" s="2"/>
      <c r="G10" s="16"/>
      <c r="H10" s="2"/>
      <c r="I10" s="2"/>
      <c r="J10" s="2"/>
    </row>
    <row r="11" spans="1:14" x14ac:dyDescent="0.3">
      <c r="A11" s="2"/>
      <c r="B11" s="2"/>
      <c r="C11" s="53"/>
      <c r="D11" s="53"/>
      <c r="E11" s="2"/>
      <c r="F11" s="2"/>
      <c r="G11" s="16"/>
      <c r="H11" s="2"/>
      <c r="I11" s="2"/>
      <c r="J11" s="2"/>
    </row>
    <row r="12" spans="1:14" x14ac:dyDescent="0.3">
      <c r="A12" s="2"/>
      <c r="B12" s="2"/>
      <c r="C12" s="53"/>
      <c r="D12" s="53"/>
      <c r="E12" s="2"/>
      <c r="F12" s="2"/>
      <c r="G12" s="16"/>
      <c r="H12" s="2"/>
      <c r="I12" s="2"/>
      <c r="J12" s="2"/>
    </row>
    <row r="13" spans="1:14" x14ac:dyDescent="0.3">
      <c r="A13" s="2"/>
      <c r="B13" s="2"/>
      <c r="C13" s="53"/>
      <c r="D13" s="53"/>
      <c r="E13" s="2"/>
      <c r="F13" s="2"/>
      <c r="G13" s="16"/>
      <c r="H13" s="2"/>
      <c r="I13" s="2"/>
      <c r="J13" s="2"/>
    </row>
    <row r="14" spans="1:14" x14ac:dyDescent="0.3">
      <c r="A14" s="2"/>
      <c r="B14" s="2"/>
      <c r="C14" s="53"/>
      <c r="D14" s="53"/>
      <c r="E14" s="2"/>
      <c r="F14" s="2"/>
      <c r="G14" s="16"/>
      <c r="H14" s="2"/>
      <c r="I14" s="2"/>
      <c r="J14" s="2"/>
    </row>
    <row r="15" spans="1:14" x14ac:dyDescent="0.3">
      <c r="A15" s="2"/>
      <c r="B15" s="2"/>
      <c r="C15" s="53"/>
      <c r="D15" s="53"/>
      <c r="E15" s="2"/>
      <c r="F15" s="2"/>
      <c r="G15" s="2"/>
      <c r="H15" s="2"/>
      <c r="I15" s="2"/>
      <c r="J15" s="2"/>
    </row>
    <row r="16" spans="1:14" x14ac:dyDescent="0.3">
      <c r="A16" s="2"/>
      <c r="B16" s="2"/>
      <c r="C16" s="53"/>
      <c r="D16" s="53"/>
      <c r="E16" s="2"/>
      <c r="F16" s="2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C8" sqref="C8"/>
    </sheetView>
  </sheetViews>
  <sheetFormatPr defaultColWidth="8.6640625" defaultRowHeight="13.8" x14ac:dyDescent="0.3"/>
  <cols>
    <col min="1" max="1" width="8.6640625" style="2"/>
    <col min="2" max="3" width="8.6640625" style="53"/>
    <col min="4" max="6" width="8.6640625" style="2"/>
    <col min="7" max="7" width="10.5546875" style="2" customWidth="1"/>
    <col min="8" max="8" width="9.5546875" style="2" bestFit="1" customWidth="1"/>
    <col min="9" max="9" width="8.6640625" style="10"/>
    <col min="10" max="16384" width="8.6640625" style="2"/>
  </cols>
  <sheetData>
    <row r="1" spans="1:10" s="21" customFormat="1" x14ac:dyDescent="0.3">
      <c r="A1" s="35" t="s">
        <v>26</v>
      </c>
      <c r="B1" s="35" t="s">
        <v>58</v>
      </c>
      <c r="C1" s="35" t="s">
        <v>101</v>
      </c>
      <c r="D1" s="35" t="s">
        <v>0</v>
      </c>
      <c r="E1" s="35" t="s">
        <v>6</v>
      </c>
      <c r="F1" s="35" t="s">
        <v>7</v>
      </c>
      <c r="G1" s="35" t="s">
        <v>8</v>
      </c>
      <c r="H1" s="35" t="s">
        <v>9</v>
      </c>
      <c r="I1" s="23" t="s">
        <v>3</v>
      </c>
      <c r="J1" s="23" t="s">
        <v>89</v>
      </c>
    </row>
    <row r="2" spans="1:10" s="32" customFormat="1" x14ac:dyDescent="0.3">
      <c r="A2" s="32">
        <v>1</v>
      </c>
      <c r="B2" s="54">
        <v>1</v>
      </c>
      <c r="C2" s="54">
        <v>1</v>
      </c>
      <c r="D2" s="32">
        <v>2</v>
      </c>
      <c r="E2" s="32">
        <f>1/0.2</f>
        <v>5</v>
      </c>
      <c r="F2" s="54">
        <f>1/0.077</f>
        <v>12.987012987012987</v>
      </c>
      <c r="G2" s="3">
        <v>0</v>
      </c>
      <c r="H2" s="3">
        <v>0</v>
      </c>
      <c r="I2" s="8" t="s">
        <v>98</v>
      </c>
      <c r="J2" s="32">
        <v>1</v>
      </c>
    </row>
    <row r="3" spans="1:10" s="32" customFormat="1" x14ac:dyDescent="0.3">
      <c r="A3" s="32">
        <v>2</v>
      </c>
      <c r="B3" s="54">
        <v>1</v>
      </c>
      <c r="C3" s="54">
        <v>1</v>
      </c>
      <c r="D3" s="32">
        <v>3</v>
      </c>
      <c r="E3" s="54">
        <f>1/0.16</f>
        <v>6.25</v>
      </c>
      <c r="F3" s="54">
        <v>0</v>
      </c>
      <c r="G3" s="3">
        <v>0</v>
      </c>
      <c r="H3" s="3">
        <v>0</v>
      </c>
      <c r="I3" s="8" t="s">
        <v>98</v>
      </c>
      <c r="J3" s="32">
        <v>1</v>
      </c>
    </row>
    <row r="4" spans="1:10" s="32" customFormat="1" x14ac:dyDescent="0.3">
      <c r="A4" s="32">
        <v>3</v>
      </c>
      <c r="B4" s="54">
        <v>1</v>
      </c>
      <c r="C4" s="54">
        <v>1</v>
      </c>
      <c r="D4" s="32">
        <v>5</v>
      </c>
      <c r="E4" s="54">
        <f>1/0.184</f>
        <v>5.4347826086956523</v>
      </c>
      <c r="F4" s="54">
        <f>1/0.0184</f>
        <v>54.347826086956523</v>
      </c>
      <c r="G4" s="3">
        <v>0</v>
      </c>
      <c r="H4" s="3">
        <v>0</v>
      </c>
      <c r="I4" s="8" t="s">
        <v>98</v>
      </c>
      <c r="J4" s="32">
        <v>1</v>
      </c>
    </row>
    <row r="5" spans="1:10" s="32" customFormat="1" x14ac:dyDescent="0.3">
      <c r="A5" s="32">
        <v>4</v>
      </c>
      <c r="B5" s="54">
        <v>2</v>
      </c>
      <c r="C5" s="54">
        <v>2</v>
      </c>
      <c r="D5" s="32">
        <v>6</v>
      </c>
      <c r="E5" s="54">
        <v>5</v>
      </c>
      <c r="F5" s="54">
        <v>0</v>
      </c>
      <c r="G5" s="3">
        <v>0</v>
      </c>
      <c r="H5" s="3">
        <v>0</v>
      </c>
      <c r="I5" s="8" t="s">
        <v>98</v>
      </c>
      <c r="J5" s="32">
        <v>1</v>
      </c>
    </row>
    <row r="6" spans="1:10" s="32" customFormat="1" x14ac:dyDescent="0.3">
      <c r="A6" s="32">
        <v>5</v>
      </c>
      <c r="B6" s="54">
        <v>2</v>
      </c>
      <c r="C6" s="54">
        <v>2</v>
      </c>
      <c r="D6" s="32">
        <v>7</v>
      </c>
      <c r="E6" s="54">
        <f>1/0.125</f>
        <v>8</v>
      </c>
      <c r="F6" s="54">
        <f>1/0.0125</f>
        <v>80</v>
      </c>
      <c r="G6" s="3">
        <v>0</v>
      </c>
      <c r="H6" s="3">
        <v>0</v>
      </c>
      <c r="I6" s="8" t="s">
        <v>98</v>
      </c>
      <c r="J6" s="32">
        <v>1</v>
      </c>
    </row>
    <row r="7" spans="1:10" s="32" customFormat="1" x14ac:dyDescent="0.3">
      <c r="A7" s="32">
        <v>6</v>
      </c>
      <c r="B7" s="54">
        <v>2</v>
      </c>
      <c r="C7" s="54">
        <v>2</v>
      </c>
      <c r="D7" s="32">
        <v>9</v>
      </c>
      <c r="E7" s="54">
        <f>1/0.25</f>
        <v>4</v>
      </c>
      <c r="F7" s="54">
        <v>0</v>
      </c>
      <c r="G7" s="3">
        <v>0</v>
      </c>
      <c r="H7" s="3">
        <v>0</v>
      </c>
      <c r="I7" s="8" t="s">
        <v>98</v>
      </c>
      <c r="J7" s="32">
        <v>1</v>
      </c>
    </row>
    <row r="8" spans="1:10" s="32" customFormat="1" x14ac:dyDescent="0.3">
      <c r="B8" s="54"/>
      <c r="C8" s="54"/>
      <c r="E8" s="54"/>
      <c r="F8" s="54"/>
      <c r="G8" s="3"/>
      <c r="H8" s="3"/>
      <c r="I8" s="8"/>
    </row>
    <row r="9" spans="1:10" s="32" customFormat="1" x14ac:dyDescent="0.3">
      <c r="B9" s="54"/>
      <c r="C9" s="54"/>
      <c r="I9" s="8"/>
    </row>
    <row r="10" spans="1:10" s="32" customFormat="1" x14ac:dyDescent="0.3">
      <c r="B10" s="54"/>
      <c r="C10" s="54"/>
      <c r="I10" s="8"/>
    </row>
    <row r="11" spans="1:10" s="32" customFormat="1" x14ac:dyDescent="0.3">
      <c r="B11" s="54"/>
      <c r="C11" s="54"/>
      <c r="I11" s="8"/>
    </row>
    <row r="12" spans="1:10" s="32" customFormat="1" x14ac:dyDescent="0.3">
      <c r="B12" s="54"/>
      <c r="C12" s="54"/>
      <c r="I12" s="8"/>
    </row>
    <row r="13" spans="1:10" s="32" customFormat="1" x14ac:dyDescent="0.3">
      <c r="B13" s="54"/>
      <c r="C13" s="54"/>
      <c r="I13" s="8"/>
    </row>
    <row r="14" spans="1:10" s="32" customFormat="1" x14ac:dyDescent="0.3">
      <c r="B14" s="54"/>
      <c r="C14" s="54"/>
      <c r="I14" s="8"/>
    </row>
    <row r="15" spans="1:10" s="32" customFormat="1" x14ac:dyDescent="0.3">
      <c r="B15" s="54"/>
      <c r="C15" s="54"/>
      <c r="I15" s="8"/>
    </row>
    <row r="16" spans="1:10" s="32" customFormat="1" x14ac:dyDescent="0.3">
      <c r="B16" s="54"/>
      <c r="C16" s="54"/>
      <c r="I16" s="8"/>
    </row>
    <row r="17" spans="2:9" s="32" customFormat="1" x14ac:dyDescent="0.3">
      <c r="B17" s="54"/>
      <c r="C17" s="54"/>
      <c r="I17" s="8"/>
    </row>
    <row r="18" spans="2:9" s="32" customFormat="1" x14ac:dyDescent="0.3">
      <c r="B18" s="54"/>
      <c r="C18" s="54"/>
      <c r="I18" s="8"/>
    </row>
    <row r="19" spans="2:9" s="32" customFormat="1" x14ac:dyDescent="0.3">
      <c r="B19" s="54"/>
      <c r="C19" s="54"/>
      <c r="I19" s="8"/>
    </row>
    <row r="20" spans="2:9" s="32" customFormat="1" x14ac:dyDescent="0.3">
      <c r="B20" s="54"/>
      <c r="C20" s="54"/>
      <c r="I20" s="8"/>
    </row>
    <row r="21" spans="2:9" s="32" customFormat="1" x14ac:dyDescent="0.3">
      <c r="B21" s="54"/>
      <c r="C21" s="54"/>
      <c r="I21" s="8"/>
    </row>
    <row r="22" spans="2:9" s="32" customFormat="1" x14ac:dyDescent="0.3">
      <c r="B22" s="54"/>
      <c r="C22" s="54"/>
      <c r="I22" s="8"/>
    </row>
    <row r="23" spans="2:9" s="32" customFormat="1" x14ac:dyDescent="0.3">
      <c r="B23" s="54"/>
      <c r="C23" s="54"/>
      <c r="I23" s="8"/>
    </row>
    <row r="24" spans="2:9" s="32" customFormat="1" x14ac:dyDescent="0.3">
      <c r="B24" s="54"/>
      <c r="C24" s="54"/>
      <c r="I24" s="8"/>
    </row>
    <row r="25" spans="2:9" s="32" customFormat="1" x14ac:dyDescent="0.3">
      <c r="B25" s="54"/>
      <c r="C25" s="54"/>
      <c r="I25" s="8"/>
    </row>
    <row r="26" spans="2:9" s="32" customFormat="1" x14ac:dyDescent="0.3">
      <c r="B26" s="54"/>
      <c r="C26" s="54"/>
      <c r="I26" s="8"/>
    </row>
    <row r="27" spans="2:9" s="32" customFormat="1" x14ac:dyDescent="0.3">
      <c r="B27" s="54"/>
      <c r="C27" s="54"/>
      <c r="I27" s="8"/>
    </row>
    <row r="28" spans="2:9" s="32" customFormat="1" x14ac:dyDescent="0.3">
      <c r="B28" s="54"/>
      <c r="C28" s="54"/>
      <c r="I28" s="8"/>
    </row>
    <row r="29" spans="2:9" s="32" customFormat="1" x14ac:dyDescent="0.3">
      <c r="B29" s="54"/>
      <c r="C29" s="54"/>
      <c r="I29" s="8"/>
    </row>
    <row r="30" spans="2:9" s="32" customFormat="1" x14ac:dyDescent="0.3">
      <c r="B30" s="54"/>
      <c r="C30" s="54"/>
      <c r="I30" s="8"/>
    </row>
    <row r="31" spans="2:9" s="32" customFormat="1" x14ac:dyDescent="0.3">
      <c r="B31" s="54"/>
      <c r="C31" s="54"/>
      <c r="I31" s="8"/>
    </row>
    <row r="32" spans="2:9" s="32" customFormat="1" x14ac:dyDescent="0.3">
      <c r="B32" s="54"/>
      <c r="C32" s="54"/>
      <c r="I32" s="8"/>
    </row>
    <row r="33" spans="2:9" s="32" customFormat="1" x14ac:dyDescent="0.3">
      <c r="B33" s="54"/>
      <c r="C33" s="54"/>
      <c r="I33" s="8"/>
    </row>
    <row r="34" spans="2:9" s="32" customFormat="1" x14ac:dyDescent="0.3">
      <c r="B34" s="54"/>
      <c r="C34" s="54"/>
      <c r="I34" s="8"/>
    </row>
    <row r="35" spans="2:9" s="32" customFormat="1" x14ac:dyDescent="0.3">
      <c r="B35" s="54"/>
      <c r="C35" s="54"/>
      <c r="I35" s="8"/>
    </row>
    <row r="36" spans="2:9" s="32" customFormat="1" x14ac:dyDescent="0.3">
      <c r="B36" s="54"/>
      <c r="C36" s="54"/>
      <c r="I36" s="8"/>
    </row>
    <row r="37" spans="2:9" s="32" customFormat="1" x14ac:dyDescent="0.3">
      <c r="B37" s="54"/>
      <c r="C37" s="54"/>
      <c r="I37" s="8"/>
    </row>
    <row r="38" spans="2:9" s="32" customFormat="1" x14ac:dyDescent="0.3">
      <c r="B38" s="54"/>
      <c r="C38" s="54"/>
      <c r="I38" s="8"/>
    </row>
    <row r="39" spans="2:9" s="32" customFormat="1" x14ac:dyDescent="0.3">
      <c r="B39" s="54"/>
      <c r="C39" s="54"/>
      <c r="I39" s="8"/>
    </row>
    <row r="40" spans="2:9" s="32" customFormat="1" x14ac:dyDescent="0.3">
      <c r="B40" s="54"/>
      <c r="C40" s="54"/>
      <c r="I40" s="8"/>
    </row>
    <row r="41" spans="2:9" s="32" customFormat="1" x14ac:dyDescent="0.3">
      <c r="B41" s="54"/>
      <c r="C41" s="54"/>
      <c r="I41" s="8"/>
    </row>
    <row r="42" spans="2:9" s="32" customFormat="1" x14ac:dyDescent="0.3">
      <c r="B42" s="54"/>
      <c r="C42" s="54"/>
      <c r="I42" s="8"/>
    </row>
    <row r="43" spans="2:9" s="32" customFormat="1" x14ac:dyDescent="0.3">
      <c r="B43" s="54"/>
      <c r="C43" s="54"/>
      <c r="I43" s="8"/>
    </row>
    <row r="44" spans="2:9" s="32" customFormat="1" x14ac:dyDescent="0.3">
      <c r="B44" s="54"/>
      <c r="C44" s="54"/>
      <c r="I44" s="8"/>
    </row>
    <row r="45" spans="2:9" s="32" customFormat="1" x14ac:dyDescent="0.3">
      <c r="B45" s="54"/>
      <c r="C45" s="54"/>
      <c r="I45" s="8"/>
    </row>
    <row r="46" spans="2:9" s="32" customFormat="1" x14ac:dyDescent="0.3">
      <c r="B46" s="54"/>
      <c r="C46" s="54"/>
      <c r="I46" s="8"/>
    </row>
    <row r="47" spans="2:9" s="32" customFormat="1" x14ac:dyDescent="0.3">
      <c r="B47" s="54"/>
      <c r="C47" s="54"/>
      <c r="I47" s="8"/>
    </row>
    <row r="48" spans="2:9" s="32" customFormat="1" x14ac:dyDescent="0.3">
      <c r="B48" s="54"/>
      <c r="C48" s="54"/>
      <c r="I48" s="8"/>
    </row>
    <row r="49" spans="2:9" s="32" customFormat="1" x14ac:dyDescent="0.3">
      <c r="B49" s="54"/>
      <c r="C49" s="54"/>
      <c r="I49" s="8"/>
    </row>
    <row r="50" spans="2:9" s="32" customFormat="1" x14ac:dyDescent="0.3">
      <c r="B50" s="54"/>
      <c r="C50" s="54"/>
      <c r="I50" s="8"/>
    </row>
    <row r="51" spans="2:9" s="32" customFormat="1" x14ac:dyDescent="0.3">
      <c r="B51" s="54"/>
      <c r="C51" s="54"/>
      <c r="I51" s="8"/>
    </row>
    <row r="52" spans="2:9" s="32" customFormat="1" x14ac:dyDescent="0.3">
      <c r="B52" s="54"/>
      <c r="C52" s="54"/>
      <c r="I52" s="8"/>
    </row>
    <row r="53" spans="2:9" s="32" customFormat="1" x14ac:dyDescent="0.3">
      <c r="B53" s="54"/>
      <c r="C53" s="54"/>
      <c r="I53" s="8"/>
    </row>
    <row r="54" spans="2:9" s="32" customFormat="1" x14ac:dyDescent="0.3">
      <c r="B54" s="54"/>
      <c r="C54" s="54"/>
      <c r="I54" s="8"/>
    </row>
    <row r="55" spans="2:9" s="32" customFormat="1" x14ac:dyDescent="0.3">
      <c r="B55" s="54"/>
      <c r="C55" s="54"/>
      <c r="I55" s="8"/>
    </row>
    <row r="56" spans="2:9" s="32" customFormat="1" x14ac:dyDescent="0.3">
      <c r="B56" s="54"/>
      <c r="C56" s="54"/>
      <c r="I56" s="8"/>
    </row>
    <row r="57" spans="2:9" s="32" customFormat="1" x14ac:dyDescent="0.3">
      <c r="B57" s="54"/>
      <c r="C57" s="54"/>
      <c r="I57" s="8"/>
    </row>
    <row r="58" spans="2:9" s="32" customFormat="1" x14ac:dyDescent="0.3">
      <c r="B58" s="54"/>
      <c r="C58" s="54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4"/>
  <sheetViews>
    <sheetView zoomScale="85" zoomScaleNormal="85" workbookViewId="0">
      <selection activeCell="F5" sqref="F5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46" s="31" customFormat="1" x14ac:dyDescent="0.25">
      <c r="A1" s="23" t="s">
        <v>26</v>
      </c>
      <c r="B1" s="23" t="s">
        <v>0</v>
      </c>
      <c r="C1" s="23" t="s">
        <v>67</v>
      </c>
      <c r="D1" s="23" t="s">
        <v>68</v>
      </c>
      <c r="E1" s="23" t="s">
        <v>58</v>
      </c>
      <c r="F1" s="23" t="s">
        <v>101</v>
      </c>
      <c r="G1" s="23" t="s">
        <v>89</v>
      </c>
      <c r="H1" s="24" t="s">
        <v>27</v>
      </c>
      <c r="I1" s="25" t="s">
        <v>9</v>
      </c>
      <c r="J1" s="25" t="s">
        <v>79</v>
      </c>
      <c r="K1" s="25" t="s">
        <v>49</v>
      </c>
      <c r="L1" s="25" t="s">
        <v>3</v>
      </c>
      <c r="M1" s="26" t="s">
        <v>60</v>
      </c>
      <c r="N1" s="26" t="s">
        <v>28</v>
      </c>
      <c r="O1" s="26" t="s">
        <v>29</v>
      </c>
      <c r="P1" s="26" t="s">
        <v>30</v>
      </c>
      <c r="Q1" s="26" t="s">
        <v>31</v>
      </c>
      <c r="R1" s="26" t="s">
        <v>32</v>
      </c>
      <c r="S1" s="26" t="s">
        <v>33</v>
      </c>
      <c r="T1" s="26" t="s">
        <v>34</v>
      </c>
      <c r="U1" s="26" t="s">
        <v>35</v>
      </c>
      <c r="V1" s="26" t="s">
        <v>36</v>
      </c>
      <c r="W1" s="26" t="s">
        <v>37</v>
      </c>
      <c r="X1" s="26" t="s">
        <v>38</v>
      </c>
      <c r="Y1" s="26" t="s">
        <v>63</v>
      </c>
      <c r="Z1" s="26" t="s">
        <v>64</v>
      </c>
      <c r="AA1" s="26" t="s">
        <v>65</v>
      </c>
      <c r="AB1" s="27" t="s">
        <v>61</v>
      </c>
      <c r="AC1" s="27" t="s">
        <v>59</v>
      </c>
      <c r="AD1" s="28" t="s">
        <v>62</v>
      </c>
      <c r="AE1" s="42" t="s">
        <v>86</v>
      </c>
      <c r="AF1" s="42" t="s">
        <v>87</v>
      </c>
      <c r="AG1" s="30"/>
      <c r="AH1" s="30"/>
      <c r="AI1" s="30"/>
      <c r="AJ1" s="30"/>
      <c r="AK1" s="30"/>
      <c r="AL1" s="30"/>
      <c r="AM1" s="30"/>
      <c r="AN1" s="30"/>
      <c r="AO1" s="30"/>
      <c r="AP1" s="29"/>
      <c r="AQ1" s="29"/>
      <c r="AR1" s="29"/>
      <c r="AS1" s="29"/>
      <c r="AT1" s="30"/>
    </row>
    <row r="2" spans="1:46" s="34" customFormat="1" x14ac:dyDescent="0.3">
      <c r="A2" s="54">
        <v>1</v>
      </c>
      <c r="B2" s="54">
        <v>1</v>
      </c>
      <c r="C2" s="54">
        <v>280</v>
      </c>
      <c r="D2" s="54">
        <v>500</v>
      </c>
      <c r="E2" s="34">
        <v>1</v>
      </c>
      <c r="F2" s="34">
        <v>1</v>
      </c>
      <c r="G2" s="52">
        <v>1</v>
      </c>
      <c r="H2" s="52">
        <v>0.01</v>
      </c>
      <c r="I2" s="52">
        <v>0</v>
      </c>
      <c r="J2" s="51">
        <v>1</v>
      </c>
      <c r="K2" s="51">
        <v>0</v>
      </c>
      <c r="L2" s="51">
        <v>0</v>
      </c>
      <c r="M2" s="33">
        <v>2.5000000000000001E-3</v>
      </c>
      <c r="N2" s="33">
        <v>0.2</v>
      </c>
      <c r="O2" s="33">
        <v>1.8</v>
      </c>
      <c r="P2" s="33">
        <v>0.3</v>
      </c>
      <c r="Q2" s="33">
        <v>0.25</v>
      </c>
      <c r="R2" s="33">
        <v>1.7</v>
      </c>
      <c r="S2" s="33">
        <v>0.55000000000000004</v>
      </c>
      <c r="T2" s="33">
        <v>0.25</v>
      </c>
      <c r="U2" s="33">
        <v>8</v>
      </c>
      <c r="V2" s="33">
        <v>0.03</v>
      </c>
      <c r="W2" s="33">
        <v>0.4</v>
      </c>
      <c r="X2" s="33">
        <v>0.05</v>
      </c>
      <c r="Y2" s="34">
        <v>2E-3</v>
      </c>
      <c r="Z2" s="34">
        <v>0.1</v>
      </c>
      <c r="AA2" s="34">
        <v>300</v>
      </c>
      <c r="AB2" s="34" t="s">
        <v>100</v>
      </c>
      <c r="AC2" s="34" t="s">
        <v>100</v>
      </c>
      <c r="AD2" s="34" t="s">
        <v>100</v>
      </c>
      <c r="AE2" s="34">
        <v>6.5</v>
      </c>
      <c r="AF2" s="34">
        <v>0</v>
      </c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s="34" customFormat="1" x14ac:dyDescent="0.3">
      <c r="A3" s="54">
        <v>2</v>
      </c>
      <c r="B3" s="54">
        <v>8</v>
      </c>
      <c r="C3" s="54">
        <v>280</v>
      </c>
      <c r="D3" s="54">
        <v>500</v>
      </c>
      <c r="E3" s="34">
        <v>2</v>
      </c>
      <c r="F3" s="34">
        <v>2</v>
      </c>
      <c r="G3" s="52">
        <v>1</v>
      </c>
      <c r="H3" s="52">
        <v>0.01</v>
      </c>
      <c r="I3" s="52">
        <v>0</v>
      </c>
      <c r="J3" s="54">
        <v>1</v>
      </c>
      <c r="K3" s="54">
        <v>0</v>
      </c>
      <c r="L3" s="54">
        <v>0</v>
      </c>
      <c r="M3" s="33">
        <v>2.5000000000000001E-3</v>
      </c>
      <c r="N3" s="33">
        <v>0.2</v>
      </c>
      <c r="O3" s="33">
        <v>1.8</v>
      </c>
      <c r="P3" s="33">
        <v>0.3</v>
      </c>
      <c r="Q3" s="33">
        <v>0.25</v>
      </c>
      <c r="R3" s="33">
        <v>1.7</v>
      </c>
      <c r="S3" s="33">
        <v>0.55000000000000004</v>
      </c>
      <c r="T3" s="33">
        <v>0.25</v>
      </c>
      <c r="U3" s="33">
        <v>8</v>
      </c>
      <c r="V3" s="33">
        <v>0.03</v>
      </c>
      <c r="W3" s="33">
        <v>0.4</v>
      </c>
      <c r="X3" s="33">
        <v>0.05</v>
      </c>
      <c r="Y3" s="34">
        <v>2E-3</v>
      </c>
      <c r="Z3" s="34">
        <v>0.1</v>
      </c>
      <c r="AA3" s="34">
        <v>300</v>
      </c>
      <c r="AB3" s="34" t="s">
        <v>100</v>
      </c>
      <c r="AC3" s="34" t="s">
        <v>100</v>
      </c>
      <c r="AD3" s="34" t="s">
        <v>100</v>
      </c>
      <c r="AE3" s="34">
        <v>6.5</v>
      </c>
      <c r="AF3" s="34">
        <v>0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</row>
    <row r="4" spans="1:46" s="34" customFormat="1" x14ac:dyDescent="0.3">
      <c r="A4" s="54">
        <v>3</v>
      </c>
      <c r="B4" s="54">
        <v>11</v>
      </c>
      <c r="C4" s="54">
        <v>280</v>
      </c>
      <c r="D4" s="54">
        <v>500</v>
      </c>
      <c r="E4" s="34">
        <v>3</v>
      </c>
      <c r="F4" s="34">
        <v>3</v>
      </c>
      <c r="G4" s="52">
        <v>1</v>
      </c>
      <c r="H4" s="52">
        <v>0.01</v>
      </c>
      <c r="I4" s="52">
        <v>0</v>
      </c>
      <c r="J4" s="54">
        <v>1</v>
      </c>
      <c r="K4" s="54">
        <v>0</v>
      </c>
      <c r="L4" s="54">
        <v>0</v>
      </c>
      <c r="M4" s="33">
        <v>2.5000000000000001E-3</v>
      </c>
      <c r="N4" s="33">
        <v>0.2</v>
      </c>
      <c r="O4" s="33">
        <v>1.8</v>
      </c>
      <c r="P4" s="33">
        <v>0.3</v>
      </c>
      <c r="Q4" s="33">
        <v>0.25</v>
      </c>
      <c r="R4" s="33">
        <v>1.7</v>
      </c>
      <c r="S4" s="33">
        <v>0.55000000000000004</v>
      </c>
      <c r="T4" s="33">
        <v>0.25</v>
      </c>
      <c r="U4" s="33">
        <v>8</v>
      </c>
      <c r="V4" s="33">
        <v>0.03</v>
      </c>
      <c r="W4" s="33">
        <v>0.4</v>
      </c>
      <c r="X4" s="33">
        <v>0.05</v>
      </c>
      <c r="Y4" s="34">
        <v>2E-3</v>
      </c>
      <c r="Z4" s="34">
        <v>0.1</v>
      </c>
      <c r="AA4" s="34">
        <v>300</v>
      </c>
      <c r="AB4" s="34" t="s">
        <v>100</v>
      </c>
      <c r="AC4" s="34" t="s">
        <v>100</v>
      </c>
      <c r="AD4" s="34" t="s">
        <v>100</v>
      </c>
      <c r="AE4" s="34">
        <v>6.5</v>
      </c>
      <c r="AF4" s="34">
        <v>0</v>
      </c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</row>
  </sheetData>
  <phoneticPr fontId="4" type="noConversion"/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L3"/>
  <sheetViews>
    <sheetView workbookViewId="0">
      <selection activeCell="G11" sqref="G11"/>
    </sheetView>
  </sheetViews>
  <sheetFormatPr defaultColWidth="8.6640625" defaultRowHeight="13.8" x14ac:dyDescent="0.3"/>
  <cols>
    <col min="1" max="16384" width="8.6640625" style="2"/>
  </cols>
  <sheetData>
    <row r="1" spans="1:12" x14ac:dyDescent="0.3">
      <c r="A1" s="41" t="s">
        <v>26</v>
      </c>
      <c r="B1" s="41" t="s">
        <v>0</v>
      </c>
      <c r="C1" s="41" t="s">
        <v>67</v>
      </c>
      <c r="D1" s="41" t="s">
        <v>68</v>
      </c>
      <c r="E1" s="41" t="s">
        <v>58</v>
      </c>
      <c r="F1" s="41" t="s">
        <v>89</v>
      </c>
      <c r="G1" s="43" t="s">
        <v>27</v>
      </c>
      <c r="H1" s="43" t="s">
        <v>9</v>
      </c>
      <c r="I1" s="43" t="s">
        <v>79</v>
      </c>
      <c r="J1" s="43" t="s">
        <v>49</v>
      </c>
      <c r="K1" s="43" t="s">
        <v>3</v>
      </c>
      <c r="L1" s="44" t="s">
        <v>66</v>
      </c>
    </row>
    <row r="2" spans="1:12" x14ac:dyDescent="0.3">
      <c r="A2" s="32"/>
      <c r="B2" s="32"/>
      <c r="C2" s="32"/>
      <c r="D2" s="54"/>
      <c r="E2" s="54"/>
      <c r="F2" s="54"/>
      <c r="G2" s="53"/>
      <c r="H2" s="53"/>
      <c r="I2" s="53"/>
      <c r="J2" s="53"/>
      <c r="K2" s="52"/>
    </row>
    <row r="3" spans="1:12" x14ac:dyDescent="0.3">
      <c r="A3" s="32"/>
      <c r="B3" s="32"/>
      <c r="C3" s="32"/>
      <c r="D3" s="54"/>
      <c r="E3" s="54"/>
      <c r="F3" s="54"/>
      <c r="G3" s="53"/>
      <c r="H3" s="53"/>
      <c r="I3" s="53"/>
      <c r="J3" s="53"/>
      <c r="K3" s="52"/>
    </row>
  </sheetData>
  <dataValidations count="1">
    <dataValidation type="list" allowBlank="1" showInputMessage="1" showErrorMessage="1" sqref="L2:L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S8"/>
  <sheetViews>
    <sheetView workbookViewId="0">
      <selection activeCell="H8" sqref="H8"/>
    </sheetView>
  </sheetViews>
  <sheetFormatPr defaultRowHeight="13.2" x14ac:dyDescent="0.25"/>
  <cols>
    <col min="11" max="12" width="7.44140625" customWidth="1"/>
    <col min="19" max="19" width="18.5546875" bestFit="1" customWidth="1"/>
  </cols>
  <sheetData>
    <row r="1" spans="1:19" ht="13.8" x14ac:dyDescent="0.3">
      <c r="A1" s="41" t="s">
        <v>26</v>
      </c>
      <c r="B1" s="41" t="s">
        <v>0</v>
      </c>
      <c r="C1" s="41" t="s">
        <v>91</v>
      </c>
      <c r="D1" s="41" t="s">
        <v>67</v>
      </c>
      <c r="E1" s="41" t="s">
        <v>97</v>
      </c>
      <c r="F1" s="41" t="s">
        <v>68</v>
      </c>
      <c r="G1" s="41" t="s">
        <v>58</v>
      </c>
      <c r="H1" s="41" t="s">
        <v>101</v>
      </c>
      <c r="I1" s="41" t="s">
        <v>94</v>
      </c>
      <c r="J1" s="41" t="s">
        <v>89</v>
      </c>
      <c r="K1" s="43" t="s">
        <v>27</v>
      </c>
      <c r="L1" s="43" t="s">
        <v>96</v>
      </c>
      <c r="M1" s="43" t="s">
        <v>9</v>
      </c>
      <c r="N1" s="43" t="s">
        <v>79</v>
      </c>
      <c r="O1" s="43" t="s">
        <v>39</v>
      </c>
      <c r="P1" s="43" t="s">
        <v>49</v>
      </c>
      <c r="Q1" s="43" t="s">
        <v>3</v>
      </c>
      <c r="R1" s="43" t="s">
        <v>95</v>
      </c>
      <c r="S1" s="44" t="s">
        <v>66</v>
      </c>
    </row>
    <row r="2" spans="1:19" ht="13.8" x14ac:dyDescent="0.3">
      <c r="A2" s="2">
        <v>1</v>
      </c>
      <c r="B2" s="2">
        <v>2</v>
      </c>
      <c r="C2" s="53">
        <v>1</v>
      </c>
      <c r="D2" s="2">
        <v>280</v>
      </c>
      <c r="E2" s="16">
        <v>640</v>
      </c>
      <c r="F2" s="17">
        <v>500</v>
      </c>
      <c r="G2" s="2">
        <v>1</v>
      </c>
      <c r="H2" s="53">
        <v>1</v>
      </c>
      <c r="I2" s="53">
        <v>1</v>
      </c>
      <c r="J2" s="2">
        <v>1</v>
      </c>
      <c r="K2" s="2">
        <v>0</v>
      </c>
      <c r="L2" s="53">
        <v>0</v>
      </c>
      <c r="M2" s="2">
        <v>0</v>
      </c>
      <c r="N2" s="2">
        <v>1</v>
      </c>
      <c r="O2" s="53">
        <v>1</v>
      </c>
      <c r="P2" s="2">
        <v>0</v>
      </c>
      <c r="Q2" s="53">
        <v>2</v>
      </c>
      <c r="R2" s="53">
        <v>2</v>
      </c>
      <c r="S2" t="s">
        <v>93</v>
      </c>
    </row>
    <row r="3" spans="1:19" ht="13.8" x14ac:dyDescent="0.3">
      <c r="A3" s="2">
        <v>2</v>
      </c>
      <c r="B3" s="2">
        <v>4</v>
      </c>
      <c r="C3" s="53">
        <v>2</v>
      </c>
      <c r="D3" s="2">
        <v>280</v>
      </c>
      <c r="E3" s="16">
        <v>640</v>
      </c>
      <c r="F3" s="2">
        <v>500</v>
      </c>
      <c r="G3" s="2">
        <v>1</v>
      </c>
      <c r="H3" s="53">
        <v>1</v>
      </c>
      <c r="I3" s="53">
        <v>1</v>
      </c>
      <c r="J3" s="2">
        <v>1</v>
      </c>
      <c r="K3" s="2">
        <v>-0.13389999999999999</v>
      </c>
      <c r="L3" s="53">
        <v>0</v>
      </c>
      <c r="M3" s="2">
        <v>0</v>
      </c>
      <c r="N3" s="2">
        <v>1</v>
      </c>
      <c r="O3" s="53">
        <v>1</v>
      </c>
      <c r="P3" s="2">
        <v>0</v>
      </c>
      <c r="Q3" s="53">
        <v>2</v>
      </c>
      <c r="R3" s="53">
        <v>1</v>
      </c>
      <c r="S3" t="s">
        <v>92</v>
      </c>
    </row>
    <row r="4" spans="1:19" ht="13.8" x14ac:dyDescent="0.3">
      <c r="A4" s="2">
        <v>3</v>
      </c>
      <c r="B4" s="2">
        <v>6</v>
      </c>
      <c r="C4" s="53">
        <v>3</v>
      </c>
      <c r="D4" s="2">
        <v>280</v>
      </c>
      <c r="E4" s="16">
        <v>640</v>
      </c>
      <c r="F4" s="53">
        <v>500</v>
      </c>
      <c r="G4" s="2">
        <v>2</v>
      </c>
      <c r="H4" s="53">
        <v>2</v>
      </c>
      <c r="I4" s="53">
        <v>1</v>
      </c>
      <c r="J4" s="53">
        <v>1</v>
      </c>
      <c r="K4" s="2">
        <f>100000000/500000000</f>
        <v>0.2</v>
      </c>
      <c r="L4" s="53">
        <v>0</v>
      </c>
      <c r="M4" s="53">
        <v>0</v>
      </c>
      <c r="N4" s="53">
        <v>1</v>
      </c>
      <c r="O4" s="53">
        <v>1</v>
      </c>
      <c r="P4" s="53">
        <v>0</v>
      </c>
      <c r="Q4" s="53">
        <v>2</v>
      </c>
      <c r="R4" s="53">
        <v>1</v>
      </c>
      <c r="S4" t="s">
        <v>99</v>
      </c>
    </row>
    <row r="5" spans="1:19" ht="13.8" x14ac:dyDescent="0.3">
      <c r="A5" s="53">
        <v>4</v>
      </c>
      <c r="B5" s="53">
        <v>5</v>
      </c>
      <c r="C5" s="53">
        <v>4</v>
      </c>
      <c r="D5" s="53">
        <v>280</v>
      </c>
      <c r="E5" s="16">
        <v>640</v>
      </c>
      <c r="F5" s="53">
        <v>500</v>
      </c>
      <c r="G5" s="53">
        <v>1</v>
      </c>
      <c r="H5" s="53">
        <v>1</v>
      </c>
      <c r="I5" s="53">
        <v>2</v>
      </c>
      <c r="J5" s="53">
        <v>1</v>
      </c>
      <c r="K5" s="53">
        <v>0</v>
      </c>
      <c r="L5" s="53">
        <v>0</v>
      </c>
      <c r="M5" s="53">
        <v>0</v>
      </c>
      <c r="N5" s="53">
        <v>1</v>
      </c>
      <c r="O5" s="53">
        <v>1</v>
      </c>
      <c r="P5" s="53">
        <v>0</v>
      </c>
      <c r="Q5" s="53">
        <v>2</v>
      </c>
      <c r="R5" s="53">
        <v>1</v>
      </c>
      <c r="S5" t="s">
        <v>99</v>
      </c>
    </row>
    <row r="6" spans="1:19" ht="13.8" x14ac:dyDescent="0.3">
      <c r="A6" s="53">
        <v>5</v>
      </c>
      <c r="B6" s="53">
        <v>10</v>
      </c>
      <c r="C6" s="53">
        <v>5</v>
      </c>
      <c r="D6" s="53">
        <v>280</v>
      </c>
      <c r="E6" s="16">
        <v>640</v>
      </c>
      <c r="F6" s="53">
        <v>500</v>
      </c>
      <c r="G6" s="53">
        <v>3</v>
      </c>
      <c r="H6" s="53">
        <v>3</v>
      </c>
      <c r="I6" s="53">
        <v>2</v>
      </c>
      <c r="J6" s="53">
        <v>1</v>
      </c>
      <c r="K6" s="52">
        <v>0</v>
      </c>
      <c r="L6" s="52">
        <v>0</v>
      </c>
      <c r="M6" s="53">
        <v>0</v>
      </c>
      <c r="N6" s="53">
        <v>1</v>
      </c>
      <c r="O6" s="53">
        <v>1</v>
      </c>
      <c r="P6" s="53">
        <v>0</v>
      </c>
      <c r="Q6" s="53">
        <v>2</v>
      </c>
      <c r="R6" s="53">
        <v>2</v>
      </c>
      <c r="S6" t="s">
        <v>99</v>
      </c>
    </row>
    <row r="7" spans="1:19" ht="13.8" x14ac:dyDescent="0.3">
      <c r="A7" s="53">
        <v>6</v>
      </c>
      <c r="B7" s="53">
        <v>9</v>
      </c>
      <c r="C7" s="53">
        <v>6</v>
      </c>
      <c r="D7" s="53">
        <v>280</v>
      </c>
      <c r="E7" s="16">
        <v>640</v>
      </c>
      <c r="F7" s="53">
        <v>500</v>
      </c>
      <c r="G7" s="53">
        <v>2</v>
      </c>
      <c r="H7" s="53">
        <v>2</v>
      </c>
      <c r="I7" s="53">
        <v>2</v>
      </c>
      <c r="J7" s="53">
        <v>1</v>
      </c>
      <c r="K7" s="52">
        <v>0</v>
      </c>
      <c r="L7" s="52">
        <v>0</v>
      </c>
      <c r="M7" s="53">
        <v>0</v>
      </c>
      <c r="N7" s="53">
        <v>1</v>
      </c>
      <c r="O7" s="53">
        <v>1</v>
      </c>
      <c r="P7" s="53">
        <v>0</v>
      </c>
      <c r="Q7" s="53">
        <v>2</v>
      </c>
      <c r="R7" s="53">
        <v>1</v>
      </c>
      <c r="S7" t="s">
        <v>93</v>
      </c>
    </row>
    <row r="8" spans="1:19" ht="13.8" x14ac:dyDescent="0.3">
      <c r="F8" s="53"/>
    </row>
  </sheetData>
  <dataValidations count="1">
    <dataValidation type="list" allowBlank="1" showInputMessage="1" showErrorMessage="1" sqref="S2:S33" xr:uid="{BD553556-C30A-4292-96EF-753204B72D13}">
      <formula1>"AC-GFOL_DC-GFOL, AC-GFOL_DC-GFOR, AC-GFOR_DC-GFOL"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D2" sqref="D2"/>
    </sheetView>
  </sheetViews>
  <sheetFormatPr defaultColWidth="8.6640625" defaultRowHeight="13.8" x14ac:dyDescent="0.3"/>
  <cols>
    <col min="1" max="16384" width="8.6640625" style="1"/>
  </cols>
  <sheetData>
    <row r="1" spans="1:14" s="22" customFormat="1" x14ac:dyDescent="0.3">
      <c r="A1" s="35" t="s">
        <v>26</v>
      </c>
      <c r="B1" s="35" t="s">
        <v>0</v>
      </c>
      <c r="C1" s="35" t="s">
        <v>46</v>
      </c>
      <c r="D1" s="35" t="s">
        <v>68</v>
      </c>
      <c r="E1" s="35" t="s">
        <v>58</v>
      </c>
      <c r="F1" s="35" t="s">
        <v>89</v>
      </c>
      <c r="G1" s="36" t="s">
        <v>27</v>
      </c>
      <c r="H1" s="36" t="s">
        <v>9</v>
      </c>
      <c r="I1" s="36" t="s">
        <v>79</v>
      </c>
      <c r="J1" s="36" t="s">
        <v>49</v>
      </c>
      <c r="K1" s="36" t="s">
        <v>3</v>
      </c>
      <c r="L1" s="37" t="s">
        <v>63</v>
      </c>
      <c r="M1" s="38" t="s">
        <v>64</v>
      </c>
    </row>
    <row r="2" spans="1:14" s="34" customForma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4" s="34" customFormat="1" x14ac:dyDescent="0.3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4" s="34" customFormat="1" x14ac:dyDescent="0.3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4" s="34" customFormat="1" x14ac:dyDescent="0.3">
      <c r="A5" s="32"/>
      <c r="B5" s="32"/>
      <c r="C5" s="32"/>
      <c r="D5" s="32"/>
      <c r="E5" s="32"/>
      <c r="F5" s="32"/>
      <c r="G5" s="32"/>
      <c r="H5" s="32"/>
      <c r="I5" s="32"/>
      <c r="J5" s="32"/>
    </row>
    <row r="6" spans="1:14" s="34" customFormat="1" x14ac:dyDescent="0.3">
      <c r="A6" s="32"/>
      <c r="B6" s="32"/>
      <c r="C6" s="32"/>
      <c r="D6" s="32"/>
      <c r="E6" s="32"/>
      <c r="F6" s="32"/>
      <c r="G6" s="32"/>
      <c r="H6" s="32"/>
      <c r="I6" s="32"/>
      <c r="J6" s="32"/>
    </row>
    <row r="7" spans="1:14" s="34" customFormat="1" x14ac:dyDescent="0.3">
      <c r="A7" s="32"/>
      <c r="B7" s="32"/>
      <c r="C7" s="32"/>
      <c r="D7" s="32"/>
      <c r="E7" s="32"/>
      <c r="F7" s="32"/>
      <c r="G7" s="32"/>
      <c r="H7" s="32"/>
      <c r="I7" s="32"/>
      <c r="J7" s="32"/>
    </row>
    <row r="8" spans="1:14" s="34" customFormat="1" x14ac:dyDescent="0.3"/>
    <row r="9" spans="1:14" s="34" customFormat="1" x14ac:dyDescent="0.3"/>
    <row r="10" spans="1:14" s="34" customFormat="1" x14ac:dyDescent="0.3"/>
    <row r="11" spans="1:14" s="34" customFormat="1" x14ac:dyDescent="0.3">
      <c r="K11" s="39"/>
      <c r="L11" s="39"/>
      <c r="M11" s="39"/>
      <c r="N11" s="39"/>
    </row>
    <row r="12" spans="1:14" s="34" customFormat="1" x14ac:dyDescent="0.3">
      <c r="K12" s="39"/>
      <c r="L12" s="39"/>
      <c r="M12" s="39"/>
      <c r="N12" s="39"/>
    </row>
    <row r="13" spans="1:14" s="34" customFormat="1" x14ac:dyDescent="0.3">
      <c r="K13" s="39"/>
      <c r="L13" s="39"/>
      <c r="M13" s="39"/>
      <c r="N13" s="39"/>
    </row>
    <row r="14" spans="1:14" s="34" customFormat="1" x14ac:dyDescent="0.3"/>
    <row r="15" spans="1:14" s="34" customFormat="1" x14ac:dyDescent="0.3"/>
    <row r="16" spans="1:14" s="34" customFormat="1" x14ac:dyDescent="0.3"/>
    <row r="17" s="34" customFormat="1" x14ac:dyDescent="0.3"/>
    <row r="18" s="34" customFormat="1" x14ac:dyDescent="0.3"/>
    <row r="19" s="34" customFormat="1" x14ac:dyDescent="0.3"/>
    <row r="20" s="34" customFormat="1" x14ac:dyDescent="0.3"/>
    <row r="21" s="34" customFormat="1" x14ac:dyDescent="0.3"/>
    <row r="22" s="34" customFormat="1" x14ac:dyDescent="0.3"/>
    <row r="23" s="34" customFormat="1" x14ac:dyDescent="0.3"/>
    <row r="24" s="34" customFormat="1" x14ac:dyDescent="0.3"/>
    <row r="25" s="34" customFormat="1" x14ac:dyDescent="0.3"/>
    <row r="26" s="34" customFormat="1" x14ac:dyDescent="0.3"/>
    <row r="27" s="34" customFormat="1" x14ac:dyDescent="0.3"/>
    <row r="28" s="34" customFormat="1" x14ac:dyDescent="0.3"/>
    <row r="29" s="34" customFormat="1" x14ac:dyDescent="0.3"/>
    <row r="30" s="34" customFormat="1" x14ac:dyDescent="0.3"/>
    <row r="31" s="34" customFormat="1" x14ac:dyDescent="0.3"/>
    <row r="32" s="34" customFormat="1" x14ac:dyDescent="0.3"/>
    <row r="33" s="34" customFormat="1" x14ac:dyDescent="0.3"/>
    <row r="34" s="34" customFormat="1" x14ac:dyDescent="0.3"/>
    <row r="35" s="34" customFormat="1" x14ac:dyDescent="0.3"/>
    <row r="36" s="34" customFormat="1" x14ac:dyDescent="0.3"/>
    <row r="37" s="34" customFormat="1" x14ac:dyDescent="0.3"/>
    <row r="38" s="34" customFormat="1" x14ac:dyDescent="0.3"/>
    <row r="39" s="34" customFormat="1" x14ac:dyDescent="0.3"/>
    <row r="40" s="34" customFormat="1" x14ac:dyDescent="0.3"/>
    <row r="41" s="34" customFormat="1" x14ac:dyDescent="0.3"/>
    <row r="42" s="34" customFormat="1" x14ac:dyDescent="0.3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39</v>
      </c>
      <c r="J1" s="2" t="s">
        <v>3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workbookViewId="0">
      <selection activeCell="E15" sqref="E15"/>
    </sheetView>
  </sheetViews>
  <sheetFormatPr defaultColWidth="8.6640625" defaultRowHeight="13.8" x14ac:dyDescent="0.3"/>
  <cols>
    <col min="1" max="3" width="8.6640625" style="4"/>
    <col min="4" max="5" width="8.6640625" style="49"/>
    <col min="6" max="6" width="8.6640625" style="4"/>
    <col min="7" max="10" width="8.6640625" style="47"/>
    <col min="11" max="16384" width="8.6640625" style="4"/>
  </cols>
  <sheetData>
    <row r="1" spans="1:10" s="21" customFormat="1" x14ac:dyDescent="0.3">
      <c r="A1" s="36" t="s">
        <v>47</v>
      </c>
      <c r="B1" s="36" t="s">
        <v>58</v>
      </c>
      <c r="C1" s="36" t="s">
        <v>101</v>
      </c>
      <c r="D1" s="36" t="s">
        <v>48</v>
      </c>
      <c r="E1" s="36" t="s">
        <v>49</v>
      </c>
      <c r="G1" s="45"/>
      <c r="H1" s="45"/>
      <c r="I1" s="45"/>
      <c r="J1" s="45"/>
    </row>
    <row r="2" spans="1:10" s="32" customFormat="1" x14ac:dyDescent="0.3">
      <c r="A2" s="32">
        <v>1</v>
      </c>
      <c r="B2" s="54">
        <v>1</v>
      </c>
      <c r="C2" s="54">
        <v>1</v>
      </c>
      <c r="D2" s="50">
        <v>1</v>
      </c>
      <c r="E2" s="50">
        <v>0</v>
      </c>
      <c r="G2" s="46"/>
      <c r="H2" s="46"/>
      <c r="I2" s="46"/>
      <c r="J2" s="46"/>
    </row>
    <row r="3" spans="1:10" s="32" customFormat="1" x14ac:dyDescent="0.3">
      <c r="A3" s="32">
        <v>2</v>
      </c>
      <c r="B3" s="54">
        <v>1</v>
      </c>
      <c r="C3" s="54">
        <v>1</v>
      </c>
      <c r="D3" s="50">
        <v>1</v>
      </c>
      <c r="E3" s="50">
        <v>0</v>
      </c>
      <c r="G3" s="46"/>
      <c r="H3" s="46"/>
      <c r="I3" s="46"/>
      <c r="J3" s="46"/>
    </row>
    <row r="4" spans="1:10" s="32" customFormat="1" x14ac:dyDescent="0.3">
      <c r="A4" s="32">
        <v>3</v>
      </c>
      <c r="B4" s="54">
        <v>1</v>
      </c>
      <c r="C4" s="54">
        <v>1</v>
      </c>
      <c r="D4" s="50">
        <v>1</v>
      </c>
      <c r="E4" s="50">
        <v>0</v>
      </c>
      <c r="G4" s="46"/>
      <c r="H4" s="46"/>
      <c r="I4" s="46"/>
      <c r="J4" s="46"/>
    </row>
    <row r="5" spans="1:10" s="32" customFormat="1" x14ac:dyDescent="0.3">
      <c r="A5" s="32">
        <v>4</v>
      </c>
      <c r="B5" s="54">
        <v>1</v>
      </c>
      <c r="C5" s="54">
        <v>1</v>
      </c>
      <c r="D5" s="50">
        <v>1</v>
      </c>
      <c r="E5" s="50">
        <v>0</v>
      </c>
      <c r="G5" s="46"/>
      <c r="H5" s="46"/>
      <c r="I5" s="46"/>
      <c r="J5" s="46"/>
    </row>
    <row r="6" spans="1:10" s="32" customFormat="1" x14ac:dyDescent="0.3">
      <c r="A6" s="32">
        <v>5</v>
      </c>
      <c r="B6" s="54">
        <v>1</v>
      </c>
      <c r="C6" s="54">
        <v>1</v>
      </c>
      <c r="D6" s="50">
        <v>1</v>
      </c>
      <c r="E6" s="50">
        <v>0</v>
      </c>
      <c r="I6" s="46"/>
      <c r="J6" s="46"/>
    </row>
    <row r="7" spans="1:10" s="32" customFormat="1" x14ac:dyDescent="0.3">
      <c r="A7" s="32">
        <v>6</v>
      </c>
      <c r="B7" s="54">
        <v>2</v>
      </c>
      <c r="C7" s="54">
        <v>2</v>
      </c>
      <c r="D7" s="50">
        <v>1</v>
      </c>
      <c r="E7" s="50">
        <v>0</v>
      </c>
      <c r="I7" s="46"/>
      <c r="J7" s="46"/>
    </row>
    <row r="8" spans="1:10" s="32" customFormat="1" x14ac:dyDescent="0.3">
      <c r="A8" s="54">
        <v>7</v>
      </c>
      <c r="B8" s="54">
        <v>2</v>
      </c>
      <c r="C8" s="54">
        <v>2</v>
      </c>
      <c r="D8" s="50">
        <v>1</v>
      </c>
      <c r="E8" s="50">
        <v>0</v>
      </c>
      <c r="I8" s="46"/>
      <c r="J8" s="46"/>
    </row>
    <row r="9" spans="1:10" s="32" customFormat="1" x14ac:dyDescent="0.3">
      <c r="A9" s="54">
        <v>8</v>
      </c>
      <c r="B9" s="54">
        <v>2</v>
      </c>
      <c r="C9" s="54">
        <v>2</v>
      </c>
      <c r="D9" s="50">
        <v>1</v>
      </c>
      <c r="E9" s="50">
        <v>0</v>
      </c>
      <c r="I9" s="46"/>
      <c r="J9" s="46"/>
    </row>
    <row r="10" spans="1:10" s="32" customFormat="1" x14ac:dyDescent="0.3">
      <c r="A10" s="54">
        <v>9</v>
      </c>
      <c r="B10" s="54">
        <v>2</v>
      </c>
      <c r="C10" s="54">
        <v>2</v>
      </c>
      <c r="D10" s="50">
        <v>1</v>
      </c>
      <c r="E10" s="50">
        <v>0</v>
      </c>
      <c r="I10" s="46"/>
      <c r="J10" s="46"/>
    </row>
    <row r="11" spans="1:10" s="32" customFormat="1" x14ac:dyDescent="0.3">
      <c r="A11" s="54">
        <v>10</v>
      </c>
      <c r="B11" s="54">
        <v>3</v>
      </c>
      <c r="C11" s="54">
        <v>3</v>
      </c>
      <c r="D11" s="50">
        <v>1</v>
      </c>
      <c r="E11" s="50">
        <v>0</v>
      </c>
      <c r="I11" s="46"/>
      <c r="J11" s="46"/>
    </row>
    <row r="12" spans="1:10" s="32" customFormat="1" x14ac:dyDescent="0.3">
      <c r="A12" s="54">
        <v>11</v>
      </c>
      <c r="B12" s="54">
        <v>3</v>
      </c>
      <c r="C12" s="54">
        <v>3</v>
      </c>
      <c r="D12" s="50">
        <v>1</v>
      </c>
      <c r="E12" s="50">
        <v>0</v>
      </c>
      <c r="G12" s="46"/>
      <c r="H12" s="46"/>
      <c r="I12" s="46"/>
      <c r="J12" s="46"/>
    </row>
    <row r="13" spans="1:10" s="32" customFormat="1" x14ac:dyDescent="0.3">
      <c r="A13" s="54"/>
      <c r="B13" s="54"/>
      <c r="C13" s="54"/>
      <c r="D13" s="50"/>
      <c r="E13" s="50"/>
      <c r="G13" s="46"/>
      <c r="H13" s="46"/>
      <c r="I13" s="46"/>
      <c r="J13" s="46"/>
    </row>
    <row r="14" spans="1:10" s="32" customFormat="1" x14ac:dyDescent="0.3">
      <c r="B14" s="54"/>
      <c r="C14" s="54"/>
      <c r="D14" s="48"/>
      <c r="E14" s="48"/>
      <c r="G14" s="46"/>
      <c r="H14" s="46"/>
      <c r="I14" s="46"/>
      <c r="J14" s="46"/>
    </row>
    <row r="15" spans="1:10" s="32" customFormat="1" x14ac:dyDescent="0.3">
      <c r="B15" s="54"/>
      <c r="C15" s="54"/>
      <c r="D15" s="48"/>
      <c r="E15" s="48"/>
      <c r="G15" s="46"/>
      <c r="H15" s="46"/>
      <c r="I15" s="46"/>
      <c r="J15" s="46"/>
    </row>
    <row r="16" spans="1:10" s="32" customFormat="1" x14ac:dyDescent="0.3">
      <c r="B16" s="54"/>
      <c r="C16" s="54"/>
      <c r="D16" s="48"/>
      <c r="E16" s="48"/>
      <c r="G16" s="46"/>
      <c r="H16" s="46"/>
      <c r="I16" s="46"/>
      <c r="J16" s="46"/>
    </row>
    <row r="17" spans="2:10" s="32" customFormat="1" x14ac:dyDescent="0.3">
      <c r="B17" s="54"/>
      <c r="C17" s="54"/>
      <c r="D17" s="48"/>
      <c r="E17" s="48"/>
      <c r="G17" s="46"/>
      <c r="H17" s="46"/>
      <c r="I17" s="46"/>
      <c r="J17" s="46"/>
    </row>
    <row r="18" spans="2:10" s="32" customFormat="1" x14ac:dyDescent="0.3">
      <c r="B18" s="54"/>
      <c r="C18" s="54"/>
      <c r="D18" s="48"/>
      <c r="E18" s="48"/>
      <c r="G18" s="46"/>
      <c r="H18" s="46"/>
      <c r="I18" s="46"/>
      <c r="J18" s="46"/>
    </row>
    <row r="19" spans="2:10" s="32" customFormat="1" x14ac:dyDescent="0.3">
      <c r="B19" s="54"/>
      <c r="C19" s="54"/>
      <c r="D19" s="48"/>
      <c r="E19" s="48"/>
      <c r="G19" s="46"/>
      <c r="H19" s="46"/>
      <c r="I19" s="46"/>
      <c r="J19" s="46"/>
    </row>
    <row r="20" spans="2:10" s="32" customFormat="1" x14ac:dyDescent="0.3">
      <c r="B20" s="54"/>
      <c r="C20" s="54"/>
      <c r="D20" s="48"/>
      <c r="E20" s="48"/>
      <c r="G20" s="46"/>
      <c r="H20" s="46"/>
      <c r="I20" s="46"/>
      <c r="J20" s="46"/>
    </row>
    <row r="21" spans="2:10" s="32" customFormat="1" x14ac:dyDescent="0.3">
      <c r="B21" s="54"/>
      <c r="C21" s="54"/>
      <c r="D21" s="48"/>
      <c r="E21" s="48"/>
      <c r="G21" s="46"/>
      <c r="H21" s="46"/>
      <c r="I21" s="46"/>
      <c r="J21" s="46"/>
    </row>
    <row r="22" spans="2:10" s="32" customFormat="1" x14ac:dyDescent="0.3">
      <c r="B22" s="54"/>
      <c r="C22" s="54"/>
      <c r="D22" s="48"/>
      <c r="E22" s="48"/>
      <c r="G22" s="46"/>
      <c r="H22" s="46"/>
      <c r="I22" s="46"/>
      <c r="J22" s="46"/>
    </row>
    <row r="23" spans="2:10" s="32" customFormat="1" x14ac:dyDescent="0.3">
      <c r="B23" s="54"/>
      <c r="C23" s="54"/>
      <c r="D23" s="48"/>
      <c r="E23" s="48"/>
      <c r="G23" s="46"/>
      <c r="H23" s="46"/>
      <c r="I23" s="46"/>
      <c r="J23" s="46"/>
    </row>
    <row r="24" spans="2:10" s="32" customFormat="1" x14ac:dyDescent="0.3">
      <c r="B24" s="54"/>
      <c r="C24" s="54"/>
      <c r="D24" s="48"/>
      <c r="E24" s="48"/>
      <c r="G24" s="46"/>
      <c r="H24" s="46"/>
      <c r="I24" s="46"/>
      <c r="J24" s="46"/>
    </row>
    <row r="25" spans="2:10" s="32" customFormat="1" x14ac:dyDescent="0.3">
      <c r="B25" s="54"/>
      <c r="C25" s="54"/>
      <c r="D25" s="48"/>
      <c r="E25" s="48"/>
      <c r="G25" s="46"/>
      <c r="H25" s="46"/>
      <c r="I25" s="46"/>
      <c r="J25" s="46"/>
    </row>
    <row r="26" spans="2:10" s="32" customFormat="1" x14ac:dyDescent="0.3">
      <c r="B26" s="54"/>
      <c r="C26" s="54"/>
      <c r="D26" s="48"/>
      <c r="E26" s="48"/>
      <c r="G26" s="46"/>
      <c r="H26" s="46"/>
      <c r="I26" s="46"/>
      <c r="J26" s="46"/>
    </row>
    <row r="27" spans="2:10" s="32" customFormat="1" x14ac:dyDescent="0.3">
      <c r="B27" s="54"/>
      <c r="C27" s="54"/>
      <c r="D27" s="48"/>
      <c r="E27" s="48"/>
      <c r="G27" s="46"/>
      <c r="H27" s="46"/>
      <c r="I27" s="46"/>
      <c r="J27" s="46"/>
    </row>
    <row r="28" spans="2:10" s="32" customFormat="1" x14ac:dyDescent="0.3">
      <c r="B28" s="54"/>
      <c r="C28" s="54"/>
      <c r="D28" s="48"/>
      <c r="E28" s="48"/>
      <c r="G28" s="46"/>
      <c r="H28" s="46"/>
      <c r="I28" s="46"/>
      <c r="J28" s="46"/>
    </row>
    <row r="29" spans="2:10" s="32" customFormat="1" x14ac:dyDescent="0.3">
      <c r="B29" s="54"/>
      <c r="C29" s="54"/>
      <c r="D29" s="48"/>
      <c r="E29" s="48"/>
      <c r="G29" s="46"/>
      <c r="H29" s="46"/>
      <c r="I29" s="46"/>
      <c r="J29" s="46"/>
    </row>
    <row r="30" spans="2:10" s="32" customFormat="1" x14ac:dyDescent="0.3">
      <c r="B30" s="54"/>
      <c r="C30" s="54"/>
      <c r="D30" s="48"/>
      <c r="E30" s="48"/>
      <c r="G30" s="46"/>
      <c r="H30" s="46"/>
      <c r="I30" s="46"/>
      <c r="J30" s="46"/>
    </row>
    <row r="31" spans="2:10" s="32" customFormat="1" x14ac:dyDescent="0.3">
      <c r="B31" s="54"/>
      <c r="C31" s="54"/>
      <c r="D31" s="48"/>
      <c r="E31" s="48"/>
      <c r="G31" s="46"/>
      <c r="H31" s="46"/>
      <c r="I31" s="46"/>
      <c r="J31" s="46"/>
    </row>
    <row r="32" spans="2:10" s="32" customFormat="1" x14ac:dyDescent="0.3">
      <c r="B32" s="54"/>
      <c r="C32" s="54"/>
      <c r="D32" s="48"/>
      <c r="E32" s="48"/>
      <c r="G32" s="46"/>
      <c r="H32" s="46"/>
      <c r="I32" s="46"/>
      <c r="J32" s="46"/>
    </row>
    <row r="33" spans="2:10" s="32" customFormat="1" x14ac:dyDescent="0.3">
      <c r="B33" s="54"/>
      <c r="C33" s="54"/>
      <c r="D33" s="48"/>
      <c r="E33" s="48"/>
      <c r="G33" s="46"/>
      <c r="H33" s="46"/>
      <c r="I33" s="46"/>
      <c r="J33" s="46"/>
    </row>
    <row r="34" spans="2:10" s="32" customFormat="1" x14ac:dyDescent="0.3">
      <c r="B34" s="54"/>
      <c r="C34" s="54"/>
      <c r="D34" s="48"/>
      <c r="E34" s="48"/>
      <c r="G34" s="46"/>
      <c r="H34" s="46"/>
      <c r="I34" s="46"/>
      <c r="J34" s="46"/>
    </row>
    <row r="35" spans="2:10" s="32" customFormat="1" x14ac:dyDescent="0.3">
      <c r="B35" s="54"/>
      <c r="C35" s="54"/>
      <c r="D35" s="48"/>
      <c r="E35" s="48"/>
      <c r="G35" s="46"/>
      <c r="H35" s="46"/>
      <c r="I35" s="46"/>
      <c r="J35" s="46"/>
    </row>
    <row r="36" spans="2:10" s="32" customFormat="1" x14ac:dyDescent="0.3">
      <c r="B36" s="54"/>
      <c r="C36" s="54"/>
      <c r="D36" s="48"/>
      <c r="E36" s="48"/>
      <c r="G36" s="46"/>
      <c r="H36" s="46"/>
      <c r="I36" s="46"/>
      <c r="J36" s="46"/>
    </row>
    <row r="37" spans="2:10" s="32" customFormat="1" x14ac:dyDescent="0.3">
      <c r="B37" s="54"/>
      <c r="C37" s="54"/>
      <c r="D37" s="48"/>
      <c r="E37" s="48"/>
      <c r="G37" s="46"/>
      <c r="H37" s="46"/>
      <c r="I37" s="46"/>
      <c r="J37" s="46"/>
    </row>
    <row r="38" spans="2:10" s="32" customFormat="1" x14ac:dyDescent="0.3">
      <c r="B38" s="54"/>
      <c r="C38" s="54"/>
      <c r="D38" s="48"/>
      <c r="E38" s="48"/>
      <c r="G38" s="46"/>
      <c r="H38" s="46"/>
      <c r="I38" s="46"/>
      <c r="J38" s="46"/>
    </row>
    <row r="39" spans="2:10" s="32" customFormat="1" x14ac:dyDescent="0.3">
      <c r="B39" s="54"/>
      <c r="C39" s="54"/>
      <c r="D39" s="48"/>
      <c r="E39" s="48"/>
      <c r="G39" s="46"/>
      <c r="H39" s="46"/>
      <c r="I39" s="46"/>
      <c r="J39" s="46"/>
    </row>
    <row r="40" spans="2:10" s="32" customFormat="1" x14ac:dyDescent="0.3">
      <c r="B40" s="54"/>
      <c r="C40" s="54"/>
      <c r="D40" s="48"/>
      <c r="E40" s="48"/>
      <c r="G40" s="46"/>
      <c r="H40" s="46"/>
      <c r="I40" s="46"/>
      <c r="J40" s="46"/>
    </row>
    <row r="41" spans="2:10" s="32" customFormat="1" x14ac:dyDescent="0.3">
      <c r="B41" s="54"/>
      <c r="C41" s="54"/>
      <c r="D41" s="48"/>
      <c r="E41" s="48"/>
      <c r="G41" s="46"/>
      <c r="H41" s="46"/>
      <c r="I41" s="46"/>
      <c r="J41" s="46"/>
    </row>
    <row r="42" spans="2:10" s="32" customFormat="1" x14ac:dyDescent="0.3">
      <c r="B42" s="54"/>
      <c r="C42" s="54"/>
      <c r="D42" s="48"/>
      <c r="E42" s="48"/>
      <c r="G42" s="46"/>
      <c r="H42" s="46"/>
      <c r="I42" s="46"/>
      <c r="J42" s="46"/>
    </row>
    <row r="43" spans="2:10" s="32" customFormat="1" x14ac:dyDescent="0.3">
      <c r="B43" s="54"/>
      <c r="C43" s="54"/>
      <c r="D43" s="48"/>
      <c r="E43" s="48"/>
      <c r="G43" s="46"/>
      <c r="H43" s="46"/>
      <c r="I43" s="46"/>
      <c r="J43" s="46"/>
    </row>
    <row r="44" spans="2:10" s="32" customFormat="1" x14ac:dyDescent="0.3">
      <c r="B44" s="54"/>
      <c r="C44" s="54"/>
      <c r="D44" s="48"/>
      <c r="E44" s="48"/>
      <c r="G44" s="46"/>
      <c r="H44" s="46"/>
      <c r="I44" s="46"/>
      <c r="J44" s="46"/>
    </row>
    <row r="45" spans="2:10" s="32" customFormat="1" x14ac:dyDescent="0.3">
      <c r="B45" s="54"/>
      <c r="C45" s="54"/>
      <c r="D45" s="48"/>
      <c r="E45" s="48"/>
      <c r="G45" s="46"/>
      <c r="H45" s="46"/>
      <c r="I45" s="46"/>
      <c r="J45" s="46"/>
    </row>
    <row r="46" spans="2:10" s="32" customFormat="1" x14ac:dyDescent="0.3">
      <c r="B46" s="54"/>
      <c r="C46" s="54"/>
      <c r="D46" s="48"/>
      <c r="E46" s="48"/>
      <c r="G46" s="46"/>
      <c r="H46" s="46"/>
      <c r="I46" s="46"/>
      <c r="J46" s="46"/>
    </row>
    <row r="47" spans="2:10" s="32" customFormat="1" x14ac:dyDescent="0.3">
      <c r="B47" s="54"/>
      <c r="C47" s="54"/>
      <c r="D47" s="48"/>
      <c r="E47" s="48"/>
      <c r="G47" s="46"/>
      <c r="H47" s="46"/>
      <c r="I47" s="46"/>
      <c r="J47" s="46"/>
    </row>
    <row r="48" spans="2:10" s="32" customFormat="1" x14ac:dyDescent="0.3">
      <c r="B48" s="54"/>
      <c r="C48" s="54"/>
      <c r="D48" s="48"/>
      <c r="E48" s="48"/>
      <c r="G48" s="46"/>
      <c r="H48" s="46"/>
      <c r="I48" s="46"/>
      <c r="J48" s="46"/>
    </row>
    <row r="49" spans="2:10" s="32" customFormat="1" x14ac:dyDescent="0.3">
      <c r="B49" s="54"/>
      <c r="C49" s="54"/>
      <c r="D49" s="48"/>
      <c r="E49" s="48"/>
      <c r="G49" s="46"/>
      <c r="H49" s="46"/>
      <c r="I49" s="46"/>
      <c r="J49" s="46"/>
    </row>
    <row r="50" spans="2:10" s="32" customFormat="1" x14ac:dyDescent="0.3">
      <c r="B50" s="54"/>
      <c r="C50" s="54"/>
      <c r="D50" s="48"/>
      <c r="E50" s="48"/>
      <c r="G50" s="46"/>
      <c r="H50" s="46"/>
      <c r="I50" s="46"/>
      <c r="J50" s="46"/>
    </row>
    <row r="51" spans="2:10" s="32" customFormat="1" x14ac:dyDescent="0.3">
      <c r="B51" s="54"/>
      <c r="C51" s="54"/>
      <c r="D51" s="48"/>
      <c r="E51" s="48"/>
      <c r="G51" s="46"/>
      <c r="H51" s="46"/>
      <c r="I51" s="46"/>
      <c r="J51" s="46"/>
    </row>
    <row r="52" spans="2:10" s="32" customFormat="1" x14ac:dyDescent="0.3">
      <c r="B52" s="54"/>
      <c r="C52" s="54"/>
      <c r="D52" s="48"/>
      <c r="E52" s="48"/>
      <c r="G52" s="46"/>
      <c r="H52" s="46"/>
      <c r="I52" s="46"/>
      <c r="J52" s="46"/>
    </row>
    <row r="53" spans="2:10" s="32" customFormat="1" x14ac:dyDescent="0.3">
      <c r="B53" s="54"/>
      <c r="C53" s="54"/>
      <c r="D53" s="48"/>
      <c r="E53" s="48"/>
      <c r="G53" s="46"/>
      <c r="H53" s="46"/>
      <c r="I53" s="46"/>
      <c r="J53" s="46"/>
    </row>
    <row r="54" spans="2:10" s="32" customFormat="1" x14ac:dyDescent="0.3">
      <c r="B54" s="54"/>
      <c r="C54" s="54"/>
      <c r="D54" s="48"/>
      <c r="E54" s="48"/>
      <c r="G54" s="46"/>
      <c r="H54" s="46"/>
      <c r="I54" s="46"/>
      <c r="J54" s="46"/>
    </row>
    <row r="55" spans="2:10" s="32" customFormat="1" x14ac:dyDescent="0.3">
      <c r="B55" s="54"/>
      <c r="C55" s="54"/>
      <c r="D55" s="48"/>
      <c r="E55" s="48"/>
      <c r="G55" s="46"/>
      <c r="H55" s="46"/>
      <c r="I55" s="46"/>
      <c r="J55" s="46"/>
    </row>
    <row r="56" spans="2:10" s="32" customFormat="1" x14ac:dyDescent="0.3">
      <c r="B56" s="54"/>
      <c r="C56" s="54"/>
      <c r="D56" s="48"/>
      <c r="E56" s="48"/>
      <c r="G56" s="46"/>
      <c r="H56" s="46"/>
      <c r="I56" s="46"/>
      <c r="J56" s="46"/>
    </row>
    <row r="57" spans="2:10" s="32" customFormat="1" x14ac:dyDescent="0.3">
      <c r="B57" s="54"/>
      <c r="C57" s="54"/>
      <c r="D57" s="48"/>
      <c r="E57" s="48"/>
      <c r="G57" s="46"/>
      <c r="H57" s="46"/>
      <c r="I57" s="46"/>
      <c r="J57" s="46"/>
    </row>
    <row r="58" spans="2:10" s="32" customFormat="1" x14ac:dyDescent="0.3">
      <c r="B58" s="54"/>
      <c r="C58" s="54"/>
      <c r="D58" s="48"/>
      <c r="E58" s="48"/>
      <c r="G58" s="46"/>
      <c r="H58" s="46"/>
      <c r="I58" s="46"/>
      <c r="J58" s="46"/>
    </row>
    <row r="59" spans="2:10" s="32" customFormat="1" x14ac:dyDescent="0.3">
      <c r="B59" s="54"/>
      <c r="C59" s="54"/>
      <c r="D59" s="48"/>
      <c r="E59" s="48"/>
      <c r="G59" s="46"/>
      <c r="H59" s="46"/>
      <c r="I59" s="46"/>
      <c r="J59" s="46"/>
    </row>
    <row r="60" spans="2:10" s="32" customFormat="1" x14ac:dyDescent="0.3">
      <c r="B60" s="54"/>
      <c r="C60" s="54"/>
      <c r="D60" s="48"/>
      <c r="E60" s="48"/>
      <c r="G60" s="46"/>
      <c r="H60" s="46"/>
      <c r="I60" s="46"/>
      <c r="J60" s="46"/>
    </row>
    <row r="61" spans="2:10" s="32" customFormat="1" x14ac:dyDescent="0.3">
      <c r="B61" s="54"/>
      <c r="C61" s="54"/>
      <c r="D61" s="48"/>
      <c r="E61" s="48"/>
      <c r="G61" s="46"/>
      <c r="H61" s="46"/>
      <c r="I61" s="46"/>
      <c r="J61" s="46"/>
    </row>
    <row r="62" spans="2:10" s="32" customFormat="1" x14ac:dyDescent="0.3">
      <c r="B62" s="54"/>
      <c r="C62" s="54"/>
      <c r="D62" s="48"/>
      <c r="E62" s="48"/>
      <c r="G62" s="46"/>
      <c r="H62" s="46"/>
      <c r="I62" s="46"/>
      <c r="J62" s="46"/>
    </row>
    <row r="63" spans="2:10" s="32" customFormat="1" x14ac:dyDescent="0.3">
      <c r="B63" s="54"/>
      <c r="C63" s="54"/>
      <c r="D63" s="48"/>
      <c r="E63" s="48"/>
      <c r="G63" s="46"/>
      <c r="H63" s="46"/>
      <c r="I63" s="46"/>
      <c r="J63" s="46"/>
    </row>
    <row r="64" spans="2:10" s="32" customFormat="1" x14ac:dyDescent="0.3">
      <c r="B64" s="54"/>
      <c r="C64" s="54"/>
      <c r="D64" s="48"/>
      <c r="E64" s="48"/>
      <c r="G64" s="46"/>
      <c r="H64" s="46"/>
      <c r="I64" s="46"/>
      <c r="J64" s="46"/>
    </row>
    <row r="65" spans="2:10" s="32" customFormat="1" x14ac:dyDescent="0.3">
      <c r="B65" s="54"/>
      <c r="C65" s="54"/>
      <c r="D65" s="48"/>
      <c r="E65" s="48"/>
      <c r="G65" s="46"/>
      <c r="H65" s="46"/>
      <c r="I65" s="46"/>
      <c r="J65" s="46"/>
    </row>
    <row r="66" spans="2:10" s="32" customFormat="1" x14ac:dyDescent="0.3">
      <c r="B66" s="54"/>
      <c r="C66" s="54"/>
      <c r="D66" s="48"/>
      <c r="E66" s="48"/>
      <c r="G66" s="46"/>
      <c r="H66" s="46"/>
      <c r="I66" s="46"/>
      <c r="J66" s="46"/>
    </row>
    <row r="67" spans="2:10" s="32" customFormat="1" x14ac:dyDescent="0.3">
      <c r="B67" s="54"/>
      <c r="C67" s="54"/>
      <c r="D67" s="48"/>
      <c r="E67" s="48"/>
      <c r="G67" s="46"/>
      <c r="H67" s="46"/>
      <c r="I67" s="46"/>
      <c r="J67" s="46"/>
    </row>
    <row r="68" spans="2:10" s="32" customFormat="1" x14ac:dyDescent="0.3">
      <c r="B68" s="54"/>
      <c r="C68" s="54"/>
      <c r="D68" s="48"/>
      <c r="E68" s="48"/>
      <c r="G68" s="46"/>
      <c r="H68" s="46"/>
      <c r="I68" s="46"/>
      <c r="J68" s="46"/>
    </row>
    <row r="69" spans="2:10" s="32" customFormat="1" x14ac:dyDescent="0.3">
      <c r="B69" s="54"/>
      <c r="C69" s="54"/>
      <c r="D69" s="48"/>
      <c r="E69" s="48"/>
      <c r="G69" s="46"/>
      <c r="H69" s="46"/>
      <c r="I69" s="46"/>
      <c r="J69" s="46"/>
    </row>
    <row r="70" spans="2:10" s="32" customFormat="1" x14ac:dyDescent="0.3">
      <c r="B70" s="54"/>
      <c r="C70" s="54"/>
      <c r="D70" s="48"/>
      <c r="E70" s="48"/>
      <c r="G70" s="46"/>
      <c r="H70" s="46"/>
      <c r="I70" s="46"/>
      <c r="J70" s="46"/>
    </row>
    <row r="71" spans="2:10" s="32" customFormat="1" x14ac:dyDescent="0.3">
      <c r="B71" s="54"/>
      <c r="C71" s="54"/>
      <c r="D71" s="48"/>
      <c r="E71" s="48"/>
      <c r="G71" s="46"/>
      <c r="H71" s="46"/>
      <c r="I71" s="46"/>
      <c r="J71" s="46"/>
    </row>
    <row r="72" spans="2:10" s="32" customFormat="1" x14ac:dyDescent="0.3">
      <c r="B72" s="54"/>
      <c r="C72" s="54"/>
      <c r="D72" s="48"/>
      <c r="E72" s="48"/>
      <c r="G72" s="46"/>
      <c r="H72" s="46"/>
      <c r="I72" s="46"/>
      <c r="J72" s="46"/>
    </row>
    <row r="73" spans="2:10" s="32" customFormat="1" x14ac:dyDescent="0.3">
      <c r="B73" s="54"/>
      <c r="C73" s="54"/>
      <c r="D73" s="48"/>
      <c r="E73" s="48"/>
      <c r="G73" s="46"/>
      <c r="H73" s="46"/>
      <c r="I73" s="46"/>
      <c r="J73" s="46"/>
    </row>
    <row r="74" spans="2:10" s="32" customFormat="1" x14ac:dyDescent="0.3">
      <c r="B74" s="54"/>
      <c r="C74" s="54"/>
      <c r="D74" s="48"/>
      <c r="E74" s="48"/>
      <c r="G74" s="46"/>
      <c r="H74" s="46"/>
      <c r="I74" s="46"/>
      <c r="J74" s="46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52CD-9C7B-4547-BA55-CBD3B4788D25}">
  <dimension ref="A1:H74"/>
  <sheetViews>
    <sheetView workbookViewId="0">
      <selection activeCell="B8" sqref="B8"/>
    </sheetView>
  </sheetViews>
  <sheetFormatPr defaultColWidth="8.6640625" defaultRowHeight="13.8" x14ac:dyDescent="0.3"/>
  <cols>
    <col min="1" max="2" width="8.6640625" style="4"/>
    <col min="3" max="3" width="8.6640625" style="49"/>
    <col min="4" max="4" width="8.6640625" style="4"/>
    <col min="5" max="8" width="8.6640625" style="47"/>
    <col min="9" max="16384" width="8.6640625" style="4"/>
  </cols>
  <sheetData>
    <row r="1" spans="1:8" s="21" customFormat="1" x14ac:dyDescent="0.3">
      <c r="A1" s="36" t="s">
        <v>0</v>
      </c>
      <c r="B1" s="36" t="s">
        <v>58</v>
      </c>
      <c r="C1" s="36" t="s">
        <v>48</v>
      </c>
      <c r="E1" s="45"/>
      <c r="F1" s="45"/>
      <c r="G1" s="45"/>
      <c r="H1" s="45"/>
    </row>
    <row r="2" spans="1:8" s="54" customFormat="1" x14ac:dyDescent="0.3">
      <c r="A2" s="54">
        <v>1</v>
      </c>
      <c r="B2" s="54">
        <v>1</v>
      </c>
      <c r="C2" s="50">
        <v>1</v>
      </c>
      <c r="E2" s="46"/>
      <c r="F2" s="46"/>
      <c r="G2" s="46"/>
      <c r="H2" s="46"/>
    </row>
    <row r="3" spans="1:8" s="54" customFormat="1" x14ac:dyDescent="0.3">
      <c r="A3" s="54">
        <v>2</v>
      </c>
      <c r="B3" s="54">
        <v>1</v>
      </c>
      <c r="C3" s="50">
        <v>1</v>
      </c>
      <c r="E3" s="46"/>
      <c r="F3" s="46"/>
      <c r="G3" s="46"/>
      <c r="H3" s="46"/>
    </row>
    <row r="4" spans="1:8" s="54" customFormat="1" x14ac:dyDescent="0.3">
      <c r="A4" s="54">
        <v>3</v>
      </c>
      <c r="B4" s="54">
        <v>1</v>
      </c>
      <c r="C4" s="50">
        <v>1</v>
      </c>
      <c r="E4" s="46"/>
      <c r="F4" s="46"/>
      <c r="G4" s="46"/>
      <c r="H4" s="46"/>
    </row>
    <row r="5" spans="1:8" s="54" customFormat="1" x14ac:dyDescent="0.3">
      <c r="A5" s="54">
        <v>4</v>
      </c>
      <c r="B5" s="54">
        <v>2</v>
      </c>
      <c r="C5" s="50">
        <v>1</v>
      </c>
      <c r="E5" s="46"/>
      <c r="F5" s="46"/>
      <c r="G5" s="46"/>
      <c r="H5" s="46"/>
    </row>
    <row r="6" spans="1:8" s="54" customFormat="1" x14ac:dyDescent="0.3">
      <c r="A6" s="54">
        <v>5</v>
      </c>
      <c r="B6" s="54">
        <v>2</v>
      </c>
      <c r="C6" s="50">
        <v>1</v>
      </c>
      <c r="G6" s="46"/>
      <c r="H6" s="46"/>
    </row>
    <row r="7" spans="1:8" s="54" customFormat="1" x14ac:dyDescent="0.3">
      <c r="A7" s="54">
        <v>6</v>
      </c>
      <c r="B7" s="54">
        <v>2</v>
      </c>
      <c r="C7" s="50">
        <v>1</v>
      </c>
      <c r="G7" s="46"/>
      <c r="H7" s="46"/>
    </row>
    <row r="8" spans="1:8" s="54" customFormat="1" x14ac:dyDescent="0.3">
      <c r="C8" s="50"/>
      <c r="G8" s="46"/>
      <c r="H8" s="46"/>
    </row>
    <row r="9" spans="1:8" s="54" customFormat="1" x14ac:dyDescent="0.3">
      <c r="C9" s="50"/>
      <c r="G9" s="46"/>
      <c r="H9" s="46"/>
    </row>
    <row r="10" spans="1:8" s="54" customFormat="1" x14ac:dyDescent="0.3">
      <c r="C10" s="50"/>
      <c r="G10" s="46"/>
      <c r="H10" s="46"/>
    </row>
    <row r="11" spans="1:8" s="54" customFormat="1" x14ac:dyDescent="0.3">
      <c r="C11" s="50"/>
      <c r="G11" s="46"/>
      <c r="H11" s="46"/>
    </row>
    <row r="12" spans="1:8" s="54" customFormat="1" x14ac:dyDescent="0.3">
      <c r="C12" s="50"/>
      <c r="E12" s="46"/>
      <c r="F12" s="46"/>
      <c r="G12" s="46"/>
      <c r="H12" s="46"/>
    </row>
    <row r="13" spans="1:8" s="54" customFormat="1" x14ac:dyDescent="0.3">
      <c r="C13" s="50"/>
      <c r="E13" s="46"/>
      <c r="F13" s="46"/>
      <c r="G13" s="46"/>
      <c r="H13" s="46"/>
    </row>
    <row r="14" spans="1:8" s="54" customFormat="1" x14ac:dyDescent="0.3">
      <c r="C14" s="48"/>
      <c r="E14" s="46"/>
      <c r="F14" s="46"/>
      <c r="G14" s="46"/>
      <c r="H14" s="46"/>
    </row>
    <row r="15" spans="1:8" s="54" customFormat="1" x14ac:dyDescent="0.3">
      <c r="C15" s="48"/>
      <c r="E15" s="46"/>
      <c r="F15" s="46"/>
      <c r="G15" s="46"/>
      <c r="H15" s="46"/>
    </row>
    <row r="16" spans="1:8" s="54" customFormat="1" x14ac:dyDescent="0.3">
      <c r="C16" s="48"/>
      <c r="E16" s="46"/>
      <c r="F16" s="46"/>
      <c r="G16" s="46"/>
      <c r="H16" s="46"/>
    </row>
    <row r="17" spans="3:8" s="54" customFormat="1" x14ac:dyDescent="0.3">
      <c r="C17" s="48"/>
      <c r="E17" s="46"/>
      <c r="F17" s="46"/>
      <c r="G17" s="46"/>
      <c r="H17" s="46"/>
    </row>
    <row r="18" spans="3:8" s="54" customFormat="1" x14ac:dyDescent="0.3">
      <c r="C18" s="48"/>
      <c r="E18" s="46"/>
      <c r="F18" s="46"/>
      <c r="G18" s="46"/>
      <c r="H18" s="46"/>
    </row>
    <row r="19" spans="3:8" s="54" customFormat="1" x14ac:dyDescent="0.3">
      <c r="C19" s="48"/>
      <c r="E19" s="46"/>
      <c r="F19" s="46"/>
      <c r="G19" s="46"/>
      <c r="H19" s="46"/>
    </row>
    <row r="20" spans="3:8" s="54" customFormat="1" x14ac:dyDescent="0.3">
      <c r="C20" s="48"/>
      <c r="E20" s="46"/>
      <c r="F20" s="46"/>
      <c r="G20" s="46"/>
      <c r="H20" s="46"/>
    </row>
    <row r="21" spans="3:8" s="54" customFormat="1" x14ac:dyDescent="0.3">
      <c r="C21" s="48"/>
      <c r="E21" s="46"/>
      <c r="F21" s="46"/>
      <c r="G21" s="46"/>
      <c r="H21" s="46"/>
    </row>
    <row r="22" spans="3:8" s="54" customFormat="1" x14ac:dyDescent="0.3">
      <c r="C22" s="48"/>
      <c r="E22" s="46"/>
      <c r="F22" s="46"/>
      <c r="G22" s="46"/>
      <c r="H22" s="46"/>
    </row>
    <row r="23" spans="3:8" s="54" customFormat="1" x14ac:dyDescent="0.3">
      <c r="C23" s="48"/>
      <c r="E23" s="46"/>
      <c r="F23" s="46"/>
      <c r="G23" s="46"/>
      <c r="H23" s="46"/>
    </row>
    <row r="24" spans="3:8" s="54" customFormat="1" x14ac:dyDescent="0.3">
      <c r="C24" s="48"/>
      <c r="E24" s="46"/>
      <c r="F24" s="46"/>
      <c r="G24" s="46"/>
      <c r="H24" s="46"/>
    </row>
    <row r="25" spans="3:8" s="54" customFormat="1" x14ac:dyDescent="0.3">
      <c r="C25" s="48"/>
      <c r="E25" s="46"/>
      <c r="F25" s="46"/>
      <c r="G25" s="46"/>
      <c r="H25" s="46"/>
    </row>
    <row r="26" spans="3:8" s="54" customFormat="1" x14ac:dyDescent="0.3">
      <c r="C26" s="48"/>
      <c r="E26" s="46"/>
      <c r="F26" s="46"/>
      <c r="G26" s="46"/>
      <c r="H26" s="46"/>
    </row>
    <row r="27" spans="3:8" s="54" customFormat="1" x14ac:dyDescent="0.3">
      <c r="C27" s="48"/>
      <c r="E27" s="46"/>
      <c r="F27" s="46"/>
      <c r="G27" s="46"/>
      <c r="H27" s="46"/>
    </row>
    <row r="28" spans="3:8" s="54" customFormat="1" x14ac:dyDescent="0.3">
      <c r="C28" s="48"/>
      <c r="E28" s="46"/>
      <c r="F28" s="46"/>
      <c r="G28" s="46"/>
      <c r="H28" s="46"/>
    </row>
    <row r="29" spans="3:8" s="54" customFormat="1" x14ac:dyDescent="0.3">
      <c r="C29" s="48"/>
      <c r="E29" s="46"/>
      <c r="F29" s="46"/>
      <c r="G29" s="46"/>
      <c r="H29" s="46"/>
    </row>
    <row r="30" spans="3:8" s="54" customFormat="1" x14ac:dyDescent="0.3">
      <c r="C30" s="48"/>
      <c r="E30" s="46"/>
      <c r="F30" s="46"/>
      <c r="G30" s="46"/>
      <c r="H30" s="46"/>
    </row>
    <row r="31" spans="3:8" s="54" customFormat="1" x14ac:dyDescent="0.3">
      <c r="C31" s="48"/>
      <c r="E31" s="46"/>
      <c r="F31" s="46"/>
      <c r="G31" s="46"/>
      <c r="H31" s="46"/>
    </row>
    <row r="32" spans="3:8" s="54" customFormat="1" x14ac:dyDescent="0.3">
      <c r="C32" s="48"/>
      <c r="E32" s="46"/>
      <c r="F32" s="46"/>
      <c r="G32" s="46"/>
      <c r="H32" s="46"/>
    </row>
    <row r="33" spans="3:8" s="54" customFormat="1" x14ac:dyDescent="0.3">
      <c r="C33" s="48"/>
      <c r="E33" s="46"/>
      <c r="F33" s="46"/>
      <c r="G33" s="46"/>
      <c r="H33" s="46"/>
    </row>
    <row r="34" spans="3:8" s="54" customFormat="1" x14ac:dyDescent="0.3">
      <c r="C34" s="48"/>
      <c r="E34" s="46"/>
      <c r="F34" s="46"/>
      <c r="G34" s="46"/>
      <c r="H34" s="46"/>
    </row>
    <row r="35" spans="3:8" s="54" customFormat="1" x14ac:dyDescent="0.3">
      <c r="C35" s="48"/>
      <c r="E35" s="46"/>
      <c r="F35" s="46"/>
      <c r="G35" s="46"/>
      <c r="H35" s="46"/>
    </row>
    <row r="36" spans="3:8" s="54" customFormat="1" x14ac:dyDescent="0.3">
      <c r="C36" s="48"/>
      <c r="E36" s="46"/>
      <c r="F36" s="46"/>
      <c r="G36" s="46"/>
      <c r="H36" s="46"/>
    </row>
    <row r="37" spans="3:8" s="54" customFormat="1" x14ac:dyDescent="0.3">
      <c r="C37" s="48"/>
      <c r="E37" s="46"/>
      <c r="F37" s="46"/>
      <c r="G37" s="46"/>
      <c r="H37" s="46"/>
    </row>
    <row r="38" spans="3:8" s="54" customFormat="1" x14ac:dyDescent="0.3">
      <c r="C38" s="48"/>
      <c r="E38" s="46"/>
      <c r="F38" s="46"/>
      <c r="G38" s="46"/>
      <c r="H38" s="46"/>
    </row>
    <row r="39" spans="3:8" s="54" customFormat="1" x14ac:dyDescent="0.3">
      <c r="C39" s="48"/>
      <c r="E39" s="46"/>
      <c r="F39" s="46"/>
      <c r="G39" s="46"/>
      <c r="H39" s="46"/>
    </row>
    <row r="40" spans="3:8" s="54" customFormat="1" x14ac:dyDescent="0.3">
      <c r="C40" s="48"/>
      <c r="E40" s="46"/>
      <c r="F40" s="46"/>
      <c r="G40" s="46"/>
      <c r="H40" s="46"/>
    </row>
    <row r="41" spans="3:8" s="54" customFormat="1" x14ac:dyDescent="0.3">
      <c r="C41" s="48"/>
      <c r="E41" s="46"/>
      <c r="F41" s="46"/>
      <c r="G41" s="46"/>
      <c r="H41" s="46"/>
    </row>
    <row r="42" spans="3:8" s="54" customFormat="1" x14ac:dyDescent="0.3">
      <c r="C42" s="48"/>
      <c r="E42" s="46"/>
      <c r="F42" s="46"/>
      <c r="G42" s="46"/>
      <c r="H42" s="46"/>
    </row>
    <row r="43" spans="3:8" s="54" customFormat="1" x14ac:dyDescent="0.3">
      <c r="C43" s="48"/>
      <c r="E43" s="46"/>
      <c r="F43" s="46"/>
      <c r="G43" s="46"/>
      <c r="H43" s="46"/>
    </row>
    <row r="44" spans="3:8" s="54" customFormat="1" x14ac:dyDescent="0.3">
      <c r="C44" s="48"/>
      <c r="E44" s="46"/>
      <c r="F44" s="46"/>
      <c r="G44" s="46"/>
      <c r="H44" s="46"/>
    </row>
    <row r="45" spans="3:8" s="54" customFormat="1" x14ac:dyDescent="0.3">
      <c r="C45" s="48"/>
      <c r="E45" s="46"/>
      <c r="F45" s="46"/>
      <c r="G45" s="46"/>
      <c r="H45" s="46"/>
    </row>
    <row r="46" spans="3:8" s="54" customFormat="1" x14ac:dyDescent="0.3">
      <c r="C46" s="48"/>
      <c r="E46" s="46"/>
      <c r="F46" s="46"/>
      <c r="G46" s="46"/>
      <c r="H46" s="46"/>
    </row>
    <row r="47" spans="3:8" s="54" customFormat="1" x14ac:dyDescent="0.3">
      <c r="C47" s="48"/>
      <c r="E47" s="46"/>
      <c r="F47" s="46"/>
      <c r="G47" s="46"/>
      <c r="H47" s="46"/>
    </row>
    <row r="48" spans="3:8" s="54" customFormat="1" x14ac:dyDescent="0.3">
      <c r="C48" s="48"/>
      <c r="E48" s="46"/>
      <c r="F48" s="46"/>
      <c r="G48" s="46"/>
      <c r="H48" s="46"/>
    </row>
    <row r="49" spans="3:8" s="54" customFormat="1" x14ac:dyDescent="0.3">
      <c r="C49" s="48"/>
      <c r="E49" s="46"/>
      <c r="F49" s="46"/>
      <c r="G49" s="46"/>
      <c r="H49" s="46"/>
    </row>
    <row r="50" spans="3:8" s="54" customFormat="1" x14ac:dyDescent="0.3">
      <c r="C50" s="48"/>
      <c r="E50" s="46"/>
      <c r="F50" s="46"/>
      <c r="G50" s="46"/>
      <c r="H50" s="46"/>
    </row>
    <row r="51" spans="3:8" s="54" customFormat="1" x14ac:dyDescent="0.3">
      <c r="C51" s="48"/>
      <c r="E51" s="46"/>
      <c r="F51" s="46"/>
      <c r="G51" s="46"/>
      <c r="H51" s="46"/>
    </row>
    <row r="52" spans="3:8" s="54" customFormat="1" x14ac:dyDescent="0.3">
      <c r="C52" s="48"/>
      <c r="E52" s="46"/>
      <c r="F52" s="46"/>
      <c r="G52" s="46"/>
      <c r="H52" s="46"/>
    </row>
    <row r="53" spans="3:8" s="54" customFormat="1" x14ac:dyDescent="0.3">
      <c r="C53" s="48"/>
      <c r="E53" s="46"/>
      <c r="F53" s="46"/>
      <c r="G53" s="46"/>
      <c r="H53" s="46"/>
    </row>
    <row r="54" spans="3:8" s="54" customFormat="1" x14ac:dyDescent="0.3">
      <c r="C54" s="48"/>
      <c r="E54" s="46"/>
      <c r="F54" s="46"/>
      <c r="G54" s="46"/>
      <c r="H54" s="46"/>
    </row>
    <row r="55" spans="3:8" s="54" customFormat="1" x14ac:dyDescent="0.3">
      <c r="C55" s="48"/>
      <c r="E55" s="46"/>
      <c r="F55" s="46"/>
      <c r="G55" s="46"/>
      <c r="H55" s="46"/>
    </row>
    <row r="56" spans="3:8" s="54" customFormat="1" x14ac:dyDescent="0.3">
      <c r="C56" s="48"/>
      <c r="E56" s="46"/>
      <c r="F56" s="46"/>
      <c r="G56" s="46"/>
      <c r="H56" s="46"/>
    </row>
    <row r="57" spans="3:8" s="54" customFormat="1" x14ac:dyDescent="0.3">
      <c r="C57" s="48"/>
      <c r="E57" s="46"/>
      <c r="F57" s="46"/>
      <c r="G57" s="46"/>
      <c r="H57" s="46"/>
    </row>
    <row r="58" spans="3:8" s="54" customFormat="1" x14ac:dyDescent="0.3">
      <c r="C58" s="48"/>
      <c r="E58" s="46"/>
      <c r="F58" s="46"/>
      <c r="G58" s="46"/>
      <c r="H58" s="46"/>
    </row>
    <row r="59" spans="3:8" s="54" customFormat="1" x14ac:dyDescent="0.3">
      <c r="C59" s="48"/>
      <c r="E59" s="46"/>
      <c r="F59" s="46"/>
      <c r="G59" s="46"/>
      <c r="H59" s="46"/>
    </row>
    <row r="60" spans="3:8" s="54" customFormat="1" x14ac:dyDescent="0.3">
      <c r="C60" s="48"/>
      <c r="E60" s="46"/>
      <c r="F60" s="46"/>
      <c r="G60" s="46"/>
      <c r="H60" s="46"/>
    </row>
    <row r="61" spans="3:8" s="54" customFormat="1" x14ac:dyDescent="0.3">
      <c r="C61" s="48"/>
      <c r="E61" s="46"/>
      <c r="F61" s="46"/>
      <c r="G61" s="46"/>
      <c r="H61" s="46"/>
    </row>
    <row r="62" spans="3:8" s="54" customFormat="1" x14ac:dyDescent="0.3">
      <c r="C62" s="48"/>
      <c r="E62" s="46"/>
      <c r="F62" s="46"/>
      <c r="G62" s="46"/>
      <c r="H62" s="46"/>
    </row>
    <row r="63" spans="3:8" s="54" customFormat="1" x14ac:dyDescent="0.3">
      <c r="C63" s="48"/>
      <c r="E63" s="46"/>
      <c r="F63" s="46"/>
      <c r="G63" s="46"/>
      <c r="H63" s="46"/>
    </row>
    <row r="64" spans="3:8" s="54" customFormat="1" x14ac:dyDescent="0.3">
      <c r="C64" s="48"/>
      <c r="E64" s="46"/>
      <c r="F64" s="46"/>
      <c r="G64" s="46"/>
      <c r="H64" s="46"/>
    </row>
    <row r="65" spans="3:8" s="54" customFormat="1" x14ac:dyDescent="0.3">
      <c r="C65" s="48"/>
      <c r="E65" s="46"/>
      <c r="F65" s="46"/>
      <c r="G65" s="46"/>
      <c r="H65" s="46"/>
    </row>
    <row r="66" spans="3:8" s="54" customFormat="1" x14ac:dyDescent="0.3">
      <c r="C66" s="48"/>
      <c r="E66" s="46"/>
      <c r="F66" s="46"/>
      <c r="G66" s="46"/>
      <c r="H66" s="46"/>
    </row>
    <row r="67" spans="3:8" s="54" customFormat="1" x14ac:dyDescent="0.3">
      <c r="C67" s="48"/>
      <c r="E67" s="46"/>
      <c r="F67" s="46"/>
      <c r="G67" s="46"/>
      <c r="H67" s="46"/>
    </row>
    <row r="68" spans="3:8" s="54" customFormat="1" x14ac:dyDescent="0.3">
      <c r="C68" s="48"/>
      <c r="E68" s="46"/>
      <c r="F68" s="46"/>
      <c r="G68" s="46"/>
      <c r="H68" s="46"/>
    </row>
    <row r="69" spans="3:8" s="54" customFormat="1" x14ac:dyDescent="0.3">
      <c r="C69" s="48"/>
      <c r="E69" s="46"/>
      <c r="F69" s="46"/>
      <c r="G69" s="46"/>
      <c r="H69" s="46"/>
    </row>
    <row r="70" spans="3:8" s="54" customFormat="1" x14ac:dyDescent="0.3">
      <c r="C70" s="48"/>
      <c r="E70" s="46"/>
      <c r="F70" s="46"/>
      <c r="G70" s="46"/>
      <c r="H70" s="46"/>
    </row>
    <row r="71" spans="3:8" s="54" customFormat="1" x14ac:dyDescent="0.3">
      <c r="C71" s="48"/>
      <c r="E71" s="46"/>
      <c r="F71" s="46"/>
      <c r="G71" s="46"/>
      <c r="H71" s="46"/>
    </row>
    <row r="72" spans="3:8" s="54" customFormat="1" x14ac:dyDescent="0.3">
      <c r="C72" s="48"/>
      <c r="E72" s="46"/>
      <c r="F72" s="46"/>
      <c r="G72" s="46"/>
      <c r="H72" s="46"/>
    </row>
    <row r="73" spans="3:8" s="54" customFormat="1" x14ac:dyDescent="0.3">
      <c r="C73" s="48"/>
      <c r="E73" s="46"/>
      <c r="F73" s="46"/>
      <c r="G73" s="46"/>
      <c r="H73" s="46"/>
    </row>
    <row r="74" spans="3:8" s="54" customFormat="1" x14ac:dyDescent="0.3">
      <c r="C74" s="48"/>
      <c r="E74" s="46"/>
      <c r="F74" s="46"/>
      <c r="G74" s="46"/>
      <c r="H74" s="46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5" t="s">
        <v>0</v>
      </c>
      <c r="B1" s="41" t="s">
        <v>81</v>
      </c>
      <c r="C1" s="41" t="s">
        <v>82</v>
      </c>
      <c r="D1" s="41" t="s">
        <v>83</v>
      </c>
      <c r="E1" s="41" t="s">
        <v>84</v>
      </c>
      <c r="F1" s="41" t="s">
        <v>85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tabSelected="1" workbookViewId="0">
      <selection activeCell="E3" sqref="E3"/>
    </sheetView>
  </sheetViews>
  <sheetFormatPr defaultColWidth="9.109375" defaultRowHeight="13.8" x14ac:dyDescent="0.3"/>
  <cols>
    <col min="1" max="16384" width="9.109375" style="1"/>
  </cols>
  <sheetData>
    <row r="1" spans="1:7" s="22" customFormat="1" x14ac:dyDescent="0.3">
      <c r="A1" s="35" t="s">
        <v>51</v>
      </c>
      <c r="B1" s="35" t="s">
        <v>54</v>
      </c>
      <c r="C1" s="35" t="s">
        <v>56</v>
      </c>
      <c r="D1" s="35" t="s">
        <v>52</v>
      </c>
      <c r="E1" s="35" t="s">
        <v>53</v>
      </c>
      <c r="F1" s="35" t="s">
        <v>55</v>
      </c>
      <c r="G1" s="35" t="s">
        <v>88</v>
      </c>
    </row>
    <row r="2" spans="1:7" s="34" customFormat="1" x14ac:dyDescent="0.3">
      <c r="A2" s="40" t="s">
        <v>57</v>
      </c>
      <c r="B2" s="40" t="s">
        <v>69</v>
      </c>
      <c r="C2" s="39">
        <v>1E-4</v>
      </c>
      <c r="D2" s="39">
        <v>1.0000000000000001E-5</v>
      </c>
      <c r="E2" s="34">
        <v>1</v>
      </c>
      <c r="F2" s="34">
        <v>0.5</v>
      </c>
      <c r="G2" s="3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trafo</vt:lpstr>
      <vt:lpstr>TH</vt:lpstr>
      <vt:lpstr>load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</dc:creator>
  <dc:description/>
  <cp:lastModifiedBy>Josep</cp:lastModifiedBy>
  <cp:revision>31</cp:revision>
  <dcterms:created xsi:type="dcterms:W3CDTF">2022-02-25T19:10:54Z</dcterms:created>
  <dcterms:modified xsi:type="dcterms:W3CDTF">2024-04-26T06:56:51Z</dcterms:modified>
  <dc:language>en-US</dc:language>
</cp:coreProperties>
</file>