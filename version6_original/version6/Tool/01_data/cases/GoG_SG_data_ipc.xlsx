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E4F6287C-BA80-4041-9FC9-3C16CB9EEFBF}" xr6:coauthVersionLast="47" xr6:coauthVersionMax="47" xr10:uidLastSave="{00000000-0000-0000-0000-000000000000}"/>
  <bookViews>
    <workbookView xWindow="-28920" yWindow="3990" windowWidth="29040" windowHeight="15840" tabRatio="922" activeTab="2" xr2:uid="{00000000-000D-0000-FFFF-FFFF00000000}"/>
  </bookViews>
  <sheets>
    <sheet name="AC-GFOL_DC-GFOL" sheetId="23" r:id="rId1"/>
    <sheet name="AC-GFOL_DC-GFOR" sheetId="21" r:id="rId2"/>
    <sheet name="AC-GFOR_DC-GFOL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3" l="1"/>
  <c r="H3" i="21"/>
  <c r="H2" i="21"/>
  <c r="F3" i="22"/>
  <c r="F4" i="22"/>
  <c r="F2" i="22"/>
</calcChain>
</file>

<file path=xl/sharedStrings.xml><?xml version="1.0" encoding="utf-8"?>
<sst xmlns="http://schemas.openxmlformats.org/spreadsheetml/2006/main" count="80" uniqueCount="32">
  <si>
    <t>number</t>
  </si>
  <si>
    <t>kpPLL</t>
  </si>
  <si>
    <t>kiPLL</t>
  </si>
  <si>
    <t>kpIs</t>
  </si>
  <si>
    <t>kiIs</t>
  </si>
  <si>
    <t>tVac</t>
  </si>
  <si>
    <t>delay</t>
  </si>
  <si>
    <t>tQ</t>
  </si>
  <si>
    <t>kpVac</t>
  </si>
  <si>
    <t>kiQ</t>
  </si>
  <si>
    <t>kpQ</t>
  </si>
  <si>
    <t>kiEt</t>
  </si>
  <si>
    <t>kpEt</t>
  </si>
  <si>
    <t>kiIsum</t>
  </si>
  <si>
    <t>kpIsum</t>
  </si>
  <si>
    <t>Ra</t>
  </si>
  <si>
    <t>Rc</t>
  </si>
  <si>
    <t>tPac</t>
  </si>
  <si>
    <t>kiPac</t>
  </si>
  <si>
    <t>kpPac</t>
  </si>
  <si>
    <t>Xc</t>
  </si>
  <si>
    <t>Xa</t>
  </si>
  <si>
    <t>bus</t>
  </si>
  <si>
    <t>busdc</t>
  </si>
  <si>
    <t>Carm</t>
  </si>
  <si>
    <t>kpw</t>
  </si>
  <si>
    <t>tw</t>
  </si>
  <si>
    <t>kiVac</t>
  </si>
  <si>
    <t>Cac</t>
  </si>
  <si>
    <t>kf</t>
  </si>
  <si>
    <t>kpVdc</t>
  </si>
  <si>
    <t>kiVdc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</si>
</sst>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63E4-F88A-4E59-B233-217D0352A1D1}">
  <sheetPr>
    <tabColor theme="0" tint="-0.14999847407452621"/>
  </sheetPr>
  <dimension ref="A1:AA3"/>
  <sheetViews>
    <sheetView zoomScale="69" zoomScaleNormal="69" workbookViewId="0">
      <selection activeCell="H3" sqref="H3"/>
    </sheetView>
  </sheetViews>
  <sheetFormatPr defaultRowHeight="13.2" x14ac:dyDescent="0.25"/>
  <cols>
    <col min="8" max="8" width="12.6640625" bestFit="1" customWidth="1"/>
  </cols>
  <sheetData>
    <row r="1" spans="1:27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19</v>
      </c>
      <c r="R1" s="2" t="s">
        <v>18</v>
      </c>
      <c r="S1" s="2" t="s">
        <v>10</v>
      </c>
      <c r="T1" s="2" t="s">
        <v>9</v>
      </c>
      <c r="U1" s="2" t="s">
        <v>8</v>
      </c>
      <c r="V1" s="2" t="s">
        <v>17</v>
      </c>
      <c r="W1" s="2" t="s">
        <v>7</v>
      </c>
      <c r="X1" s="2" t="s">
        <v>5</v>
      </c>
      <c r="Y1" s="2" t="s">
        <v>25</v>
      </c>
      <c r="Z1" s="2" t="s">
        <v>26</v>
      </c>
      <c r="AA1" s="2" t="s">
        <v>6</v>
      </c>
    </row>
    <row r="2" spans="1:27" x14ac:dyDescent="0.25">
      <c r="A2">
        <v>2</v>
      </c>
      <c r="B2">
        <v>4</v>
      </c>
      <c r="C2">
        <v>2</v>
      </c>
      <c r="D2">
        <v>0.01</v>
      </c>
      <c r="E2">
        <v>0.1</v>
      </c>
      <c r="F2">
        <v>0.01</v>
      </c>
      <c r="G2">
        <v>0.1</v>
      </c>
      <c r="H2">
        <f>0.1</f>
        <v>0.1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1</v>
      </c>
      <c r="P2">
        <v>10</v>
      </c>
      <c r="Q2">
        <v>1</v>
      </c>
      <c r="R2">
        <v>10</v>
      </c>
      <c r="S2">
        <v>1</v>
      </c>
      <c r="T2">
        <v>10</v>
      </c>
      <c r="U2">
        <v>1</v>
      </c>
      <c r="V2">
        <v>0.1</v>
      </c>
      <c r="W2">
        <v>0.1</v>
      </c>
      <c r="X2">
        <v>0.1</v>
      </c>
      <c r="Y2">
        <v>0.1</v>
      </c>
      <c r="Z2">
        <v>0.1</v>
      </c>
      <c r="AA2" s="4">
        <v>1.0000000000000001E-5</v>
      </c>
    </row>
    <row r="3" spans="1:27" x14ac:dyDescent="0.25">
      <c r="AA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C3"/>
  <sheetViews>
    <sheetView zoomScale="69" zoomScaleNormal="69" workbookViewId="0">
      <selection activeCell="H4" sqref="H4"/>
    </sheetView>
  </sheetViews>
  <sheetFormatPr defaultRowHeight="13.2" x14ac:dyDescent="0.25"/>
  <cols>
    <col min="8" max="8" width="12.6640625" bestFit="1" customWidth="1"/>
  </cols>
  <sheetData>
    <row r="1" spans="1:29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19</v>
      </c>
      <c r="R1" s="2" t="s">
        <v>18</v>
      </c>
      <c r="S1" s="2" t="s">
        <v>10</v>
      </c>
      <c r="T1" s="2" t="s">
        <v>9</v>
      </c>
      <c r="U1" s="2" t="s">
        <v>30</v>
      </c>
      <c r="V1" s="2" t="s">
        <v>31</v>
      </c>
      <c r="W1" s="2" t="s">
        <v>8</v>
      </c>
      <c r="X1" s="2" t="s">
        <v>17</v>
      </c>
      <c r="Y1" s="2" t="s">
        <v>7</v>
      </c>
      <c r="Z1" s="2" t="s">
        <v>5</v>
      </c>
      <c r="AA1" s="2" t="s">
        <v>25</v>
      </c>
      <c r="AB1" s="2" t="s">
        <v>26</v>
      </c>
      <c r="AC1" s="2" t="s">
        <v>6</v>
      </c>
    </row>
    <row r="2" spans="1:29" x14ac:dyDescent="0.25">
      <c r="A2">
        <v>1</v>
      </c>
      <c r="B2">
        <v>2</v>
      </c>
      <c r="C2">
        <v>1</v>
      </c>
      <c r="D2">
        <v>0.01</v>
      </c>
      <c r="E2">
        <v>0.1</v>
      </c>
      <c r="F2">
        <v>0.01</v>
      </c>
      <c r="G2">
        <v>0.1</v>
      </c>
      <c r="H2">
        <f>0.1</f>
        <v>0.1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1</v>
      </c>
      <c r="P2">
        <v>10</v>
      </c>
      <c r="Q2">
        <v>1</v>
      </c>
      <c r="R2">
        <v>10</v>
      </c>
      <c r="S2">
        <v>1</v>
      </c>
      <c r="T2">
        <v>10</v>
      </c>
      <c r="U2">
        <v>0.1</v>
      </c>
      <c r="V2">
        <v>10</v>
      </c>
      <c r="W2">
        <v>1</v>
      </c>
      <c r="X2">
        <v>0.1</v>
      </c>
      <c r="Y2">
        <v>0.1</v>
      </c>
      <c r="Z2">
        <v>0.1</v>
      </c>
      <c r="AA2">
        <v>0.1</v>
      </c>
      <c r="AB2">
        <v>0.1</v>
      </c>
      <c r="AC2" s="4">
        <v>1.0000000000000001E-5</v>
      </c>
    </row>
    <row r="3" spans="1:29" x14ac:dyDescent="0.25">
      <c r="A3">
        <v>6</v>
      </c>
      <c r="B3">
        <v>9</v>
      </c>
      <c r="C3">
        <v>6</v>
      </c>
      <c r="D3">
        <v>0.01</v>
      </c>
      <c r="E3">
        <v>0.1</v>
      </c>
      <c r="F3">
        <v>0.01</v>
      </c>
      <c r="G3">
        <v>0.1</v>
      </c>
      <c r="H3">
        <f>0.1</f>
        <v>0.1</v>
      </c>
      <c r="I3">
        <v>1</v>
      </c>
      <c r="J3">
        <v>10</v>
      </c>
      <c r="K3">
        <v>1</v>
      </c>
      <c r="L3">
        <v>10</v>
      </c>
      <c r="M3">
        <v>1</v>
      </c>
      <c r="N3">
        <v>10</v>
      </c>
      <c r="O3">
        <v>1</v>
      </c>
      <c r="P3">
        <v>10</v>
      </c>
      <c r="Q3">
        <v>1</v>
      </c>
      <c r="R3">
        <v>10</v>
      </c>
      <c r="S3">
        <v>1</v>
      </c>
      <c r="T3">
        <v>10</v>
      </c>
      <c r="U3">
        <v>0.1</v>
      </c>
      <c r="V3">
        <v>10</v>
      </c>
      <c r="W3">
        <v>1</v>
      </c>
      <c r="X3">
        <v>0.1</v>
      </c>
      <c r="Y3">
        <v>0.1</v>
      </c>
      <c r="Z3">
        <v>0.1</v>
      </c>
      <c r="AA3">
        <v>0.1</v>
      </c>
      <c r="AB3">
        <v>0.1</v>
      </c>
      <c r="AC3" s="4">
        <v>1.0000000000000001E-5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X5"/>
  <sheetViews>
    <sheetView tabSelected="1" zoomScale="85" zoomScaleNormal="85" workbookViewId="0">
      <selection activeCell="H5" sqref="H5"/>
    </sheetView>
  </sheetViews>
  <sheetFormatPr defaultRowHeight="13.2" x14ac:dyDescent="0.25"/>
  <cols>
    <col min="6" max="6" width="5" bestFit="1" customWidth="1"/>
    <col min="8" max="8" width="12.33203125" bestFit="1" customWidth="1"/>
  </cols>
  <sheetData>
    <row r="1" spans="1:24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3</v>
      </c>
      <c r="J1" s="2" t="s">
        <v>4</v>
      </c>
      <c r="K1" s="2" t="s">
        <v>14</v>
      </c>
      <c r="L1" s="2" t="s">
        <v>13</v>
      </c>
      <c r="M1" s="2" t="s">
        <v>12</v>
      </c>
      <c r="N1" s="2" t="s">
        <v>11</v>
      </c>
      <c r="O1" s="2" t="s">
        <v>8</v>
      </c>
      <c r="P1" s="2" t="s">
        <v>27</v>
      </c>
      <c r="Q1" s="2" t="s">
        <v>28</v>
      </c>
      <c r="R1" s="3" t="s">
        <v>10</v>
      </c>
      <c r="S1" s="3" t="s">
        <v>9</v>
      </c>
      <c r="T1" s="2" t="s">
        <v>7</v>
      </c>
      <c r="U1" s="2" t="s">
        <v>5</v>
      </c>
      <c r="V1" s="2" t="s">
        <v>29</v>
      </c>
      <c r="W1" s="2" t="s">
        <v>17</v>
      </c>
      <c r="X1" s="2" t="s">
        <v>6</v>
      </c>
    </row>
    <row r="2" spans="1:24" x14ac:dyDescent="0.25">
      <c r="A2">
        <v>3</v>
      </c>
      <c r="B2">
        <v>6</v>
      </c>
      <c r="C2">
        <v>3</v>
      </c>
      <c r="D2">
        <v>0.01</v>
      </c>
      <c r="E2">
        <v>0.1</v>
      </c>
      <c r="F2">
        <f>1.568/156.8</f>
        <v>0.01</v>
      </c>
      <c r="G2">
        <v>0.1</v>
      </c>
      <c r="H2">
        <v>0.1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0.1</v>
      </c>
      <c r="P2">
        <v>0</v>
      </c>
      <c r="Q2" s="4">
        <v>9.9999999999999995E-7</v>
      </c>
      <c r="R2">
        <v>1</v>
      </c>
      <c r="S2">
        <v>10</v>
      </c>
      <c r="T2">
        <v>0.1</v>
      </c>
      <c r="U2">
        <v>0.1</v>
      </c>
      <c r="V2">
        <v>0.1</v>
      </c>
      <c r="W2">
        <v>0.1</v>
      </c>
      <c r="X2" s="4">
        <v>1.0000000000000001E-5</v>
      </c>
    </row>
    <row r="3" spans="1:24" x14ac:dyDescent="0.25">
      <c r="A3">
        <v>4</v>
      </c>
      <c r="B3">
        <v>5</v>
      </c>
      <c r="C3">
        <v>4</v>
      </c>
      <c r="D3">
        <v>0.01</v>
      </c>
      <c r="E3">
        <v>0.1</v>
      </c>
      <c r="F3">
        <f t="shared" ref="F3:F4" si="0">1.568/156.8</f>
        <v>0.01</v>
      </c>
      <c r="G3">
        <v>1.1000000000000001</v>
      </c>
      <c r="H3">
        <v>0.1</v>
      </c>
      <c r="I3">
        <v>1</v>
      </c>
      <c r="J3">
        <v>10</v>
      </c>
      <c r="K3">
        <v>1</v>
      </c>
      <c r="L3">
        <v>10</v>
      </c>
      <c r="M3">
        <v>1</v>
      </c>
      <c r="N3">
        <v>10</v>
      </c>
      <c r="O3">
        <v>0.1</v>
      </c>
      <c r="P3">
        <v>0</v>
      </c>
      <c r="Q3" s="4">
        <v>9.9999999999999995E-7</v>
      </c>
      <c r="R3">
        <v>1</v>
      </c>
      <c r="S3">
        <v>10</v>
      </c>
      <c r="T3">
        <v>0.1</v>
      </c>
      <c r="U3">
        <v>0.1</v>
      </c>
      <c r="V3">
        <v>0.1</v>
      </c>
      <c r="W3">
        <v>0.1</v>
      </c>
      <c r="X3" s="4">
        <v>1.0000000000000001E-5</v>
      </c>
    </row>
    <row r="4" spans="1:24" x14ac:dyDescent="0.25">
      <c r="A4">
        <v>5</v>
      </c>
      <c r="B4">
        <v>10</v>
      </c>
      <c r="C4">
        <v>5</v>
      </c>
      <c r="D4">
        <v>0.01</v>
      </c>
      <c r="E4">
        <v>0.1</v>
      </c>
      <c r="F4">
        <f t="shared" si="0"/>
        <v>0.01</v>
      </c>
      <c r="G4">
        <v>2.1</v>
      </c>
      <c r="H4">
        <v>0.1</v>
      </c>
      <c r="I4">
        <v>1</v>
      </c>
      <c r="J4">
        <v>10</v>
      </c>
      <c r="K4">
        <v>1</v>
      </c>
      <c r="L4">
        <v>10</v>
      </c>
      <c r="M4">
        <v>1</v>
      </c>
      <c r="N4">
        <v>10</v>
      </c>
      <c r="O4">
        <v>0.1</v>
      </c>
      <c r="P4">
        <v>0</v>
      </c>
      <c r="Q4" s="4">
        <v>9.9999999999999995E-7</v>
      </c>
      <c r="R4">
        <v>1</v>
      </c>
      <c r="S4">
        <v>10</v>
      </c>
      <c r="T4">
        <v>0.1</v>
      </c>
      <c r="U4">
        <v>0.1</v>
      </c>
      <c r="V4">
        <v>0.1</v>
      </c>
      <c r="W4">
        <v>0.1</v>
      </c>
      <c r="X4" s="4">
        <v>1.0000000000000001E-5</v>
      </c>
    </row>
    <row r="5" spans="1:24" x14ac:dyDescent="0.25">
      <c r="Q5" s="4"/>
      <c r="X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AC-GFOL_DC-GFOL</vt:lpstr>
      <vt:lpstr>AC-GFOL_DC-GFOR</vt:lpstr>
      <vt:lpstr>AC-GFOR_DC-GFOL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2024-04-16T11:41:34Z</dcterms:modified>
  <dc:language>en-US</dc:language>
</cp:coreProperties>
</file>